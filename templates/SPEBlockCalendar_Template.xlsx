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00" tabRatio="600" firstSheet="0" activeTab="1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7" sheetId="2" state="visible" r:id="rId2"/>
  </sheets>
  <definedNames>
    <definedName name="valuevx">42.314159</definedName>
    <definedName name="_xlnm.Print_Area" localSheetId="0">'2026'!$A$7:$AG$45</definedName>
    <definedName name="_xlnm.Print_Area" localSheetId="1">'2027'!$A$7:$AG$45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d"/>
    <numFmt numFmtId="165" formatCode="mmmm\ \'yy"/>
  </numFmts>
  <fonts count="26">
    <font>
      <name val="Arial"/>
      <sz val="10"/>
    </font>
    <font>
      <name val="Calibri"/>
      <family val="2"/>
      <sz val="10"/>
      <scheme val="minor"/>
    </font>
    <font>
      <name val="Calibri"/>
      <family val="2"/>
      <sz val="8"/>
      <scheme val="minor"/>
    </font>
    <font>
      <name val="Calibri"/>
      <family val="2"/>
      <i val="1"/>
      <sz val="8"/>
      <scheme val="minor"/>
    </font>
    <font>
      <name val="Calibri"/>
      <family val="2"/>
      <color theme="4"/>
      <sz val="9"/>
      <scheme val="minor"/>
    </font>
    <font>
      <name val="Calibri"/>
      <family val="2"/>
      <b val="1"/>
      <sz val="12"/>
      <scheme val="minor"/>
    </font>
    <font>
      <name val="Calibri"/>
      <family val="2"/>
      <color theme="4"/>
      <sz val="10"/>
      <scheme val="minor"/>
    </font>
    <font>
      <name val="Calibri"/>
      <family val="2"/>
      <sz val="14"/>
      <scheme val="minor"/>
    </font>
    <font>
      <name val="Calibri"/>
      <family val="2"/>
      <sz val="12"/>
      <scheme val="minor"/>
    </font>
    <font>
      <name val="Calibri"/>
      <family val="1"/>
      <b val="1"/>
      <color theme="0"/>
      <sz val="14"/>
      <scheme val="maj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color theme="1" tint="0.49992370372631"/>
      <sz val="8"/>
    </font>
    <font>
      <name val="Arial"/>
      <family val="2"/>
      <b val="1"/>
      <color theme="1" tint="0.49992370372631"/>
      <sz val="9"/>
    </font>
    <font>
      <name val="Verdana"/>
      <family val="2"/>
      <b val="1"/>
      <color theme="1"/>
      <sz val="12"/>
    </font>
    <font>
      <name val="Verdana"/>
      <family val="2"/>
      <sz val="10"/>
    </font>
    <font>
      <name val="Verdana"/>
      <family val="2"/>
      <color theme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i val="1"/>
      <sz val="10"/>
    </font>
    <font>
      <name val="Verdana"/>
      <family val="2"/>
      <sz val="8"/>
    </font>
    <font>
      <name val="Verdana"/>
      <family val="2"/>
      <color theme="1"/>
      <sz val="8"/>
    </font>
    <font>
      <name val="Calibri"/>
      <family val="2"/>
      <i val="1"/>
      <sz val="10"/>
      <scheme val="minor"/>
    </font>
    <font>
      <name val="Verdana"/>
      <family val="2"/>
      <b val="1"/>
      <sz val="11"/>
    </font>
    <font>
      <name val="Verdana"/>
      <family val="2"/>
      <sz val="9"/>
    </font>
    <font>
      <name val="Verdana"/>
      <family val="2"/>
      <b val="1"/>
      <color theme="0"/>
      <sz val="11"/>
    </font>
  </fonts>
  <fills count="15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FF99CC"/>
      </patternFill>
    </fill>
    <fill>
      <patternFill patternType="solid">
        <fgColor rgb="FF00B050"/>
      </patternFill>
    </fill>
    <fill>
      <patternFill patternType="solid">
        <fgColor rgb="FF00206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-0.249946592608417"/>
      </left>
      <right/>
      <top/>
      <bottom/>
      <diagonal/>
    </border>
    <border>
      <left/>
      <right style="thin">
        <color theme="4" tint="-0.249946592608417"/>
      </right>
      <top/>
      <bottom/>
      <diagonal/>
    </border>
    <border>
      <left style="thin">
        <color theme="4" tint="0.5999023407696769"/>
      </left>
      <right style="thin">
        <color theme="4" tint="0.5999023407696769"/>
      </right>
      <top style="thin">
        <color theme="4" tint="0.5999023407696769"/>
      </top>
      <bottom style="thin">
        <color theme="4" tint="0.5999023407696769"/>
      </bottom>
      <diagonal/>
    </border>
    <border>
      <left style="thin">
        <color theme="4" tint="0.3999450666829432"/>
      </left>
      <right/>
      <top/>
      <bottom/>
      <diagonal/>
    </border>
    <border>
      <left/>
      <right style="thin">
        <color theme="4" tint="0.399945066682943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3">
    <xf numFmtId="0" fontId="0" fillId="0" borderId="0"/>
    <xf numFmtId="0" fontId="11" fillId="0" borderId="0" applyAlignment="1">
      <alignment vertical="top"/>
    </xf>
    <xf numFmtId="0" fontId="10" fillId="0" borderId="0"/>
  </cellStyleXfs>
  <cellXfs count="89">
    <xf numFmtId="0" fontId="0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right"/>
    </xf>
    <xf numFmtId="0" fontId="1" fillId="0" borderId="0" pivotButton="0" quotePrefix="0" xfId="0"/>
    <xf numFmtId="0" fontId="1" fillId="2" borderId="0" applyAlignment="1" pivotButton="0" quotePrefix="0" xfId="0">
      <alignment horizontal="right"/>
    </xf>
    <xf numFmtId="0" fontId="1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0" fillId="0" borderId="0" pivotButton="0" quotePrefix="0" xfId="0"/>
    <xf numFmtId="0" fontId="12" fillId="0" borderId="0" applyAlignment="1" pivotButton="0" quotePrefix="0" xfId="0">
      <alignment horizontal="right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vertical="center"/>
    </xf>
    <xf numFmtId="0" fontId="17" fillId="0" borderId="0" pivotButton="0" quotePrefix="0" xfId="2"/>
    <xf numFmtId="0" fontId="10" fillId="0" borderId="0" pivotButton="0" quotePrefix="0" xfId="2"/>
    <xf numFmtId="0" fontId="10" fillId="3" borderId="11" pivotButton="0" quotePrefix="0" xfId="2"/>
    <xf numFmtId="0" fontId="10" fillId="3" borderId="12" pivotButton="0" quotePrefix="0" xfId="2"/>
    <xf numFmtId="0" fontId="10" fillId="0" borderId="13" pivotButton="0" quotePrefix="0" xfId="0"/>
    <xf numFmtId="0" fontId="17" fillId="0" borderId="0" pivotButton="0" quotePrefix="0" xfId="0"/>
    <xf numFmtId="0" fontId="18" fillId="4" borderId="11" pivotButton="0" quotePrefix="0" xfId="2"/>
    <xf numFmtId="0" fontId="10" fillId="4" borderId="12" pivotButton="0" quotePrefix="0" xfId="2"/>
    <xf numFmtId="0" fontId="17" fillId="0" borderId="15" pivotButton="0" quotePrefix="0" xfId="0"/>
    <xf numFmtId="0" fontId="10" fillId="5" borderId="11" pivotButton="0" quotePrefix="0" xfId="2"/>
    <xf numFmtId="0" fontId="10" fillId="5" borderId="12" pivotButton="0" quotePrefix="0" xfId="2"/>
    <xf numFmtId="0" fontId="10" fillId="6" borderId="11" pivotButton="0" quotePrefix="0" xfId="2"/>
    <xf numFmtId="0" fontId="10" fillId="6" borderId="12" pivotButton="0" quotePrefix="0" xfId="2"/>
    <xf numFmtId="0" fontId="10" fillId="0" borderId="15" pivotButton="0" quotePrefix="0" xfId="0"/>
    <xf numFmtId="0" fontId="17" fillId="0" borderId="18" applyAlignment="1" pivotButton="0" quotePrefix="0" xfId="0">
      <alignment horizontal="left"/>
    </xf>
    <xf numFmtId="0" fontId="10" fillId="7" borderId="11" pivotButton="0" quotePrefix="0" xfId="2"/>
    <xf numFmtId="0" fontId="10" fillId="7" borderId="12" pivotButton="0" quotePrefix="0" xfId="2"/>
    <xf numFmtId="164" fontId="20" fillId="0" borderId="5" applyAlignment="1" pivotButton="0" quotePrefix="0" xfId="0">
      <alignment horizontal="center" vertical="center"/>
    </xf>
    <xf numFmtId="164" fontId="20" fillId="6" borderId="5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164" fontId="20" fillId="4" borderId="5" applyAlignment="1" pivotButton="0" quotePrefix="0" xfId="0">
      <alignment horizontal="center" vertical="center"/>
    </xf>
    <xf numFmtId="0" fontId="17" fillId="0" borderId="17" applyAlignment="1" pivotButton="0" quotePrefix="0" xfId="0">
      <alignment horizontal="left"/>
    </xf>
    <xf numFmtId="0" fontId="19" fillId="0" borderId="13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7" fillId="0" borderId="16" applyAlignment="1" pivotButton="0" quotePrefix="0" xfId="0">
      <alignment horizontal="left"/>
    </xf>
    <xf numFmtId="0" fontId="10" fillId="0" borderId="13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7" fillId="0" borderId="14" applyAlignment="1" pivotButton="0" quotePrefix="0" xfId="0">
      <alignment horizontal="left"/>
    </xf>
    <xf numFmtId="0" fontId="17" fillId="0" borderId="15" applyAlignment="1" pivotButton="0" quotePrefix="0" xfId="0">
      <alignment horizontal="left"/>
    </xf>
    <xf numFmtId="164" fontId="20" fillId="3" borderId="5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7" pivotButton="0" quotePrefix="0" xfId="0"/>
    <xf numFmtId="0" fontId="19" fillId="0" borderId="0" pivotButton="0" quotePrefix="0" xfId="0"/>
    <xf numFmtId="0" fontId="1" fillId="0" borderId="13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4" fontId="20" fillId="9" borderId="5" applyAlignment="1" pivotButton="0" quotePrefix="0" xfId="0">
      <alignment horizontal="center" vertical="center"/>
    </xf>
    <xf numFmtId="164" fontId="20" fillId="10" borderId="5" applyAlignment="1" pivotButton="0" quotePrefix="0" xfId="0">
      <alignment horizontal="center" vertical="center"/>
    </xf>
    <xf numFmtId="164" fontId="23" fillId="3" borderId="5" applyAlignment="1" pivotButton="0" quotePrefix="0" xfId="0">
      <alignment horizontal="center" vertical="center"/>
    </xf>
    <xf numFmtId="164" fontId="23" fillId="9" borderId="5" applyAlignment="1" pivotButton="0" quotePrefix="0" xfId="0">
      <alignment horizontal="center" vertical="center"/>
    </xf>
    <xf numFmtId="164" fontId="23" fillId="4" borderId="5" applyAlignment="1" pivotButton="0" quotePrefix="0" xfId="0">
      <alignment horizontal="center" vertical="center"/>
    </xf>
    <xf numFmtId="0" fontId="9" fillId="8" borderId="4" applyAlignment="1" pivotButton="0" quotePrefix="0" xfId="0">
      <alignment horizontal="right" vertical="center"/>
    </xf>
    <xf numFmtId="0" fontId="0" fillId="0" borderId="4" pivotButton="0" quotePrefix="0" xfId="0"/>
    <xf numFmtId="165" fontId="9" fillId="8" borderId="3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4" fillId="0" borderId="0" applyAlignment="1" pivotButton="0" quotePrefix="0" xfId="0">
      <alignment horizontal="left"/>
    </xf>
    <xf numFmtId="0" fontId="1" fillId="0" borderId="0" pivotButton="0" quotePrefix="0" xfId="0"/>
    <xf numFmtId="0" fontId="10" fillId="0" borderId="8" applyAlignment="1" pivotButton="0" quotePrefix="0" xfId="0">
      <alignment horizontal="left"/>
    </xf>
    <xf numFmtId="0" fontId="0" fillId="0" borderId="9" pivotButton="0" quotePrefix="0" xfId="0"/>
    <xf numFmtId="0" fontId="17" fillId="0" borderId="10" applyAlignment="1" pivotButton="0" quotePrefix="0" xfId="0">
      <alignment horizontal="left"/>
    </xf>
    <xf numFmtId="0" fontId="0" fillId="0" borderId="10" pivotButton="0" quotePrefix="0" xfId="0"/>
    <xf numFmtId="0" fontId="11" fillId="2" borderId="0" applyAlignment="1" pivotButton="0" quotePrefix="0" xfId="1">
      <alignment horizontal="left"/>
    </xf>
    <xf numFmtId="0" fontId="1" fillId="0" borderId="19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15" fillId="0" borderId="0" applyAlignment="1" pivotButton="0" quotePrefix="0" xfId="0">
      <alignment horizontal="left"/>
    </xf>
    <xf numFmtId="0" fontId="10" fillId="0" borderId="13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164" fontId="24" fillId="11" borderId="5" applyAlignment="1" pivotButton="0" quotePrefix="0" xfId="0">
      <alignment horizontal="center" vertical="center"/>
    </xf>
    <xf numFmtId="164" fontId="20" fillId="11" borderId="5" applyAlignment="1" pivotButton="0" quotePrefix="0" xfId="0">
      <alignment horizontal="center" vertical="center"/>
    </xf>
    <xf numFmtId="164" fontId="20" fillId="12" borderId="5" applyAlignment="1" pivotButton="0" quotePrefix="0" xfId="0">
      <alignment horizontal="center" vertical="center"/>
    </xf>
    <xf numFmtId="164" fontId="21" fillId="12" borderId="5" applyAlignment="1" pivotButton="0" quotePrefix="0" xfId="0">
      <alignment horizontal="center" vertical="center"/>
    </xf>
    <xf numFmtId="164" fontId="20" fillId="13" borderId="5" applyAlignment="1" pivotButton="0" quotePrefix="0" xfId="0">
      <alignment horizontal="center" vertical="center"/>
    </xf>
    <xf numFmtId="164" fontId="25" fillId="14" borderId="5" applyAlignment="1" pivotButton="0" quotePrefix="0" xfId="0">
      <alignment horizontal="center" vertical="center"/>
    </xf>
  </cellXfs>
  <cellStyles count="3">
    <cellStyle name="Normal" xfId="0" builtinId="0"/>
    <cellStyle name="Hyperlink" xfId="1"/>
    <cellStyle name="Normal 2" xfId="2"/>
  </cellStyles>
  <dxfs count="8">
    <dxf>
      <font>
        <color theme="4" tint="-0.249946592608417"/>
      </font>
    </dxf>
    <dxf>
      <fill>
        <patternFill>
          <bgColor theme="4" tint="0.7999206518753624"/>
        </patternFill>
      </fill>
    </dxf>
    <dxf>
      <numFmt numFmtId="166" formatCode="mmmm"/>
    </dxf>
    <dxf>
      <numFmt numFmtId="166" formatCode="mmmm"/>
    </dxf>
    <dxf>
      <font>
        <color theme="4" tint="-0.249946592608417"/>
      </font>
    </dxf>
    <dxf>
      <fill>
        <patternFill>
          <bgColor theme="4" tint="0.7999206518753624"/>
        </patternFill>
      </fill>
    </dxf>
    <dxf>
      <numFmt numFmtId="166" formatCode="mmmm"/>
    </dxf>
    <dxf>
      <numFmt numFmtId="166" formatCode="mm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27</col>
      <colOff>0</colOff>
      <row>0</row>
      <rowOff>19050</rowOff>
    </from>
    <to>
      <col>32</col>
      <colOff>9525</colOff>
      <row>1</row>
      <rowOff>91288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27</col>
      <colOff>0</colOff>
      <row>0</row>
      <rowOff>19050</rowOff>
    </from>
    <to>
      <col>32</col>
      <colOff>9525</colOff>
      <row>1</row>
      <rowOff>91288</rowOff>
    </to>
    <pic>
      <nvPicPr>
        <cNvPr id="2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V42Blue">
  <a:themeElements>
    <a:clrScheme name="V42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V42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I45"/>
  <sheetViews>
    <sheetView showGridLines="0" topLeftCell="A18" workbookViewId="0">
      <selection activeCell="B38" sqref="B38:P44"/>
    </sheetView>
  </sheetViews>
  <sheetFormatPr baseColWidth="10" defaultColWidth="9.1640625" defaultRowHeight="14"/>
  <cols>
    <col width="3.1640625" customWidth="1" style="71" min="1" max="1"/>
    <col width="4" customWidth="1" style="71" min="2" max="32"/>
    <col width="3.1640625" customWidth="1" style="71" min="33" max="33"/>
    <col width="3.83203125" customWidth="1" style="71" min="34" max="34"/>
    <col width="31" customWidth="1" style="71" min="35" max="35"/>
    <col width="9.1640625" customWidth="1" style="71" min="36" max="38"/>
    <col width="9.1640625" customWidth="1" style="71" min="39" max="16384"/>
  </cols>
  <sheetData>
    <row r="1" ht="18" customHeight="1">
      <c r="A1" s="3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76" t="inlineStr">
        <is>
          <t>More Yearly Calendars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3.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3.5" customHeight="1">
      <c r="A3" s="1" t="n"/>
      <c r="B3" s="1" t="n"/>
      <c r="C3" s="6" t="inlineStr">
        <is>
          <t>Year:</t>
        </is>
      </c>
      <c r="D3" s="77" t="n">
        <v>2026</v>
      </c>
      <c r="E3" s="78" t="n"/>
      <c r="F3" s="79" t="n"/>
      <c r="G3" s="1" t="n"/>
      <c r="H3" s="1" t="n"/>
      <c r="I3" s="6" t="inlineStr">
        <is>
          <t>Month:</t>
        </is>
      </c>
      <c r="J3" s="77" t="n">
        <v>1</v>
      </c>
      <c r="K3" s="78" t="n"/>
      <c r="L3" s="79" t="n"/>
      <c r="M3" s="1" t="n"/>
      <c r="N3" s="1" t="n"/>
      <c r="O3" s="1" t="n"/>
      <c r="P3" s="1" t="n"/>
      <c r="Q3" s="4" t="inlineStr">
        <is>
          <t>Start Day</t>
        </is>
      </c>
      <c r="R3" s="77" t="n">
        <v>1</v>
      </c>
      <c r="S3" s="79" t="n"/>
      <c r="T3" s="2" t="inlineStr">
        <is>
          <t>1:Sun, 2:Mon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4" t="n"/>
      <c r="AG3" s="1" t="n"/>
      <c r="AI3" s="8" t="inlineStr">
        <is>
          <t>← Choose the year, start month, and start day</t>
        </is>
      </c>
    </row>
    <row r="4" ht="13.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3.5" customHeight="1"/>
    <row r="6" ht="13.5" customHeight="1"/>
    <row r="7" ht="23" customHeight="1">
      <c r="B7" s="70" t="inlineStr">
        <is>
          <t>THE COMEBACKER, Ready for Release June 18, 2027 as of 4/13/26</t>
        </is>
      </c>
    </row>
    <row r="8" ht="16" customHeight="1">
      <c r="B8" s="70" t="inlineStr">
        <is>
          <t>Assumes 40 Day Shoot; 24 Week Post</t>
        </is>
      </c>
    </row>
    <row r="9" ht="15" customHeight="1">
      <c r="B9" s="80" t="inlineStr">
        <is>
          <t>JANUARY - DECEMBER</t>
        </is>
      </c>
      <c r="G9" s="82">
        <f>IF($J$3=1,D3,D3&amp;"-"&amp;D3+1)</f>
        <v/>
      </c>
      <c r="J9" s="18" t="n"/>
      <c r="K9" s="18" t="n"/>
      <c r="L9" s="18" t="n"/>
      <c r="M9" s="18" t="n"/>
      <c r="N9" s="18" t="n"/>
      <c r="O9" s="18" t="n"/>
      <c r="P9" s="18" t="n"/>
      <c r="Q9" s="17" t="n"/>
      <c r="R9" s="17" t="n"/>
      <c r="S9" s="17" t="n"/>
    </row>
    <row r="10" ht="15.75" customHeight="1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 ht="22.5" customFormat="1" customHeight="1" s="66">
      <c r="A11" s="71" t="n"/>
      <c r="B11" s="65">
        <f>DATE(D3,J3,1)</f>
        <v/>
      </c>
      <c r="G11" s="63">
        <f>D3</f>
        <v/>
      </c>
      <c r="H11" s="64" t="n"/>
      <c r="I11" s="7" t="n"/>
      <c r="J11" s="65">
        <f>DATE(YEAR(B11+42),MONTH(B11+42),1)</f>
        <v/>
      </c>
      <c r="O11" s="63">
        <f>D3</f>
        <v/>
      </c>
      <c r="P11" s="64" t="n"/>
      <c r="Q11" s="7" t="n"/>
      <c r="R11" s="65">
        <f>DATE(YEAR(J11+42),MONTH(J11+42),1)</f>
        <v/>
      </c>
      <c r="W11" s="63">
        <f>D3</f>
        <v/>
      </c>
      <c r="X11" s="64" t="n"/>
      <c r="Y11" s="7" t="n"/>
      <c r="Z11" s="65">
        <f>DATE(YEAR(R11+42),MONTH(R11+42),1)</f>
        <v/>
      </c>
      <c r="AE11" s="63">
        <f>D3</f>
        <v/>
      </c>
      <c r="AF11" s="64" t="n"/>
      <c r="AG11" s="10" t="n"/>
      <c r="AI11" s="71" t="n"/>
    </row>
    <row r="12" ht="18" customFormat="1" customHeight="1" s="68">
      <c r="A12" s="7" t="n"/>
      <c r="B12" s="38">
        <f>CHOOSE(1+MOD($R$3+1-2,7),"Su","M","Tu","W","Th","F","Sa")</f>
        <v/>
      </c>
      <c r="C12" s="39">
        <f>CHOOSE(1+MOD($R$3+2-2,7),"Su","M","Tu","W","Th","F","Sa")</f>
        <v/>
      </c>
      <c r="D12" s="39">
        <f>CHOOSE(1+MOD($R$3+3-2,7),"Su","M","Tu","W","Th","F","Sa")</f>
        <v/>
      </c>
      <c r="E12" s="39">
        <f>CHOOSE(1+MOD($R$3+4-2,7),"Su","M","Tu","W","Th","F","Sa")</f>
        <v/>
      </c>
      <c r="F12" s="39">
        <f>CHOOSE(1+MOD($R$3+5-2,7),"Su","M","Tu","W","Th","F","Sa")</f>
        <v/>
      </c>
      <c r="G12" s="39">
        <f>CHOOSE(1+MOD($R$3+6-2,7),"Su","M","Tu","W","Th","F","Sa")</f>
        <v/>
      </c>
      <c r="H12" s="40">
        <f>CHOOSE(1+MOD($R$3+7-2,7),"Su","M","Tu","W","Th","F","Sa")</f>
        <v/>
      </c>
      <c r="I12" s="7" t="n"/>
      <c r="J12" s="38">
        <f>CHOOSE(1+MOD($R$3+1-2,7),"Su","M","Tu","W","Th","F","Sa")</f>
        <v/>
      </c>
      <c r="K12" s="39">
        <f>CHOOSE(1+MOD($R$3+2-2,7),"Su","M","Tu","W","Th","F","Sa")</f>
        <v/>
      </c>
      <c r="L12" s="39">
        <f>CHOOSE(1+MOD($R$3+3-2,7),"Su","M","Tu","W","Th","F","Sa")</f>
        <v/>
      </c>
      <c r="M12" s="39">
        <f>CHOOSE(1+MOD($R$3+4-2,7),"Su","M","Tu","W","Th","F","Sa")</f>
        <v/>
      </c>
      <c r="N12" s="39">
        <f>CHOOSE(1+MOD($R$3+5-2,7),"Su","M","Tu","W","Th","F","Sa")</f>
        <v/>
      </c>
      <c r="O12" s="39">
        <f>CHOOSE(1+MOD($R$3+6-2,7),"Su","M","Tu","W","Th","F","Sa")</f>
        <v/>
      </c>
      <c r="P12" s="40">
        <f>CHOOSE(1+MOD($R$3+7-2,7),"Su","M","Tu","W","Th","F","Sa")</f>
        <v/>
      </c>
      <c r="Q12" s="7" t="n"/>
      <c r="R12" s="38">
        <f>CHOOSE(1+MOD($R$3+1-2,7),"Su","M","Tu","W","Th","F","Sa")</f>
        <v/>
      </c>
      <c r="S12" s="39">
        <f>CHOOSE(1+MOD($R$3+2-2,7),"Su","M","Tu","W","Th","F","Sa")</f>
        <v/>
      </c>
      <c r="T12" s="39">
        <f>CHOOSE(1+MOD($R$3+3-2,7),"Su","M","Tu","W","Th","F","Sa")</f>
        <v/>
      </c>
      <c r="U12" s="39">
        <f>CHOOSE(1+MOD($R$3+4-2,7),"Su","M","Tu","W","Th","F","Sa")</f>
        <v/>
      </c>
      <c r="V12" s="39">
        <f>CHOOSE(1+MOD($R$3+5-2,7),"Su","M","Tu","W","Th","F","Sa")</f>
        <v/>
      </c>
      <c r="W12" s="39">
        <f>CHOOSE(1+MOD($R$3+6-2,7),"Su","M","Tu","W","Th","F","Sa")</f>
        <v/>
      </c>
      <c r="X12" s="40">
        <f>CHOOSE(1+MOD($R$3+7-2,7),"Su","M","Tu","W","Th","F","Sa")</f>
        <v/>
      </c>
      <c r="Y12" s="7" t="n"/>
      <c r="Z12" s="38">
        <f>CHOOSE(1+MOD($R$3+1-2,7),"Su","M","Tu","W","Th","F","Sa")</f>
        <v/>
      </c>
      <c r="AA12" s="39">
        <f>CHOOSE(1+MOD($R$3+2-2,7),"Su","M","Tu","W","Th","F","Sa")</f>
        <v/>
      </c>
      <c r="AB12" s="39">
        <f>CHOOSE(1+MOD($R$3+3-2,7),"Su","M","Tu","W","Th","F","Sa")</f>
        <v/>
      </c>
      <c r="AC12" s="39">
        <f>CHOOSE(1+MOD($R$3+4-2,7),"Su","M","Tu","W","Th","F","Sa")</f>
        <v/>
      </c>
      <c r="AD12" s="39">
        <f>CHOOSE(1+MOD($R$3+5-2,7),"Su","M","Tu","W","Th","F","Sa")</f>
        <v/>
      </c>
      <c r="AE12" s="39">
        <f>CHOOSE(1+MOD($R$3+6-2,7),"Su","M","Tu","W","Th","F","Sa")</f>
        <v/>
      </c>
      <c r="AF12" s="40">
        <f>CHOOSE(1+MOD($R$3+7-2,7),"Su","M","Tu","W","Th","F","Sa")</f>
        <v/>
      </c>
      <c r="AI12" s="67" t="inlineStr">
        <is>
          <t>Choose a new Color Scheme: Go to Page Layout &gt; Colors to change the theme colors, or Page Layout &gt; Fonts to change the theme fonts.</t>
        </is>
      </c>
    </row>
    <row r="13" ht="18" customFormat="1" customHeight="1" s="69">
      <c r="A13" s="7" t="n"/>
      <c r="B13" s="36">
        <f>IF(WEEKDAY(B11,1)=$R$3,B11,"")</f>
        <v/>
      </c>
      <c r="C13" s="36">
        <f>IF(B13="",IF(WEEKDAY(B11,1)=MOD($R$3,7)+1,B11,""),B13+1)</f>
        <v/>
      </c>
      <c r="D13" s="36">
        <f>IF(C13="",IF(WEEKDAY(B11,1)=MOD($R$3+1,7)+1,B11,""),C13+1)</f>
        <v/>
      </c>
      <c r="E13" s="36">
        <f>IF(D13="",IF(WEEKDAY(B11,1)=MOD($R$3+2,7)+1,B11,""),D13+1)</f>
        <v/>
      </c>
      <c r="F13" s="36">
        <f>IF(E13="",IF(WEEKDAY(B11,1)=MOD($R$3+3,7)+1,B11,""),E13+1)</f>
        <v/>
      </c>
      <c r="G13" s="36">
        <f>IF(F13="",IF(WEEKDAY(B11,1)=MOD($R$3+4,7)+1,B11,""),F13+1)</f>
        <v/>
      </c>
      <c r="H13" s="36">
        <f>IF(G13="",IF(WEEKDAY(B11,1)=MOD($R$3+5,7)+1,B11,""),G13+1)</f>
        <v/>
      </c>
      <c r="I13" s="7" t="n"/>
      <c r="J13" s="36">
        <f>IF(WEEKDAY(J11,1)=$R$3,J11,"")</f>
        <v/>
      </c>
      <c r="K13" s="36">
        <f>IF(J13="",IF(WEEKDAY(J11,1)=MOD($R$3,7)+1,J11,""),J13+1)</f>
        <v/>
      </c>
      <c r="L13" s="36">
        <f>IF(K13="",IF(WEEKDAY(J11,1)=MOD($R$3+1,7)+1,J11,""),K13+1)</f>
        <v/>
      </c>
      <c r="M13" s="36">
        <f>IF(L13="",IF(WEEKDAY(J11,1)=MOD($R$3+2,7)+1,J11,""),L13+1)</f>
        <v/>
      </c>
      <c r="N13" s="36">
        <f>IF(M13="",IF(WEEKDAY(J11,1)=MOD($R$3+3,7)+1,J11,""),M13+1)</f>
        <v/>
      </c>
      <c r="O13" s="36">
        <f>IF(N13="",IF(WEEKDAY(J11,1)=MOD($R$3+4,7)+1,J11,""),N13+1)</f>
        <v/>
      </c>
      <c r="P13" s="36">
        <f>IF(O13="",IF(WEEKDAY(J11,1)=MOD($R$3+5,7)+1,J11,""),O13+1)</f>
        <v/>
      </c>
      <c r="Q13" s="7" t="n"/>
      <c r="R13" s="36">
        <f>IF(WEEKDAY(R11,1)=$R$3,R11,"")</f>
        <v/>
      </c>
      <c r="S13" s="36">
        <f>IF(R13="",IF(WEEKDAY(R11,1)=MOD($R$3,7)+1,R11,""),R13+1)</f>
        <v/>
      </c>
      <c r="T13" s="36">
        <f>IF(S13="",IF(WEEKDAY(R11,1)=MOD($R$3+1,7)+1,R11,""),S13+1)</f>
        <v/>
      </c>
      <c r="U13" s="36">
        <f>IF(T13="",IF(WEEKDAY(R11,1)=MOD($R$3+2,7)+1,R11,""),T13+1)</f>
        <v/>
      </c>
      <c r="V13" s="36">
        <f>IF(U13="",IF(WEEKDAY(R11,1)=MOD($R$3+3,7)+1,R11,""),U13+1)</f>
        <v/>
      </c>
      <c r="W13" s="36">
        <f>IF(V13="",IF(WEEKDAY(R11,1)=MOD($R$3+4,7)+1,R11,""),V13+1)</f>
        <v/>
      </c>
      <c r="X13" s="36">
        <f>IF(W13="",IF(WEEKDAY(R11,1)=MOD($R$3+5,7)+1,R11,""),W13+1)</f>
        <v/>
      </c>
      <c r="Y13" s="7" t="n"/>
      <c r="Z13" s="36">
        <f>IF(WEEKDAY(Z11,1)=$R$3,Z11,"")</f>
        <v/>
      </c>
      <c r="AA13" s="36">
        <f>IF(Z13="",IF(WEEKDAY(Z11,1)=MOD($R$3,7)+1,Z11,""),Z13+1)</f>
        <v/>
      </c>
      <c r="AB13" s="36">
        <f>IF(AA13="",IF(WEEKDAY(Z11,1)=MOD($R$3+1,7)+1,Z11,""),AA13+1)</f>
        <v/>
      </c>
      <c r="AC13" s="36">
        <f>IF(AB13="",IF(WEEKDAY(Z11,1)=MOD($R$3+2,7)+1,Z11,""),AB13+1)</f>
        <v/>
      </c>
      <c r="AD13" s="36">
        <f>IF(AC13="",IF(WEEKDAY(Z11,1)=MOD($R$3+3,7)+1,Z11,""),AC13+1)</f>
        <v/>
      </c>
      <c r="AE13" s="36">
        <f>IF(AD13="",IF(WEEKDAY(Z11,1)=MOD($R$3+4,7)+1,Z11,""),AD13+1)</f>
        <v/>
      </c>
      <c r="AF13" s="36">
        <f>IF(AE13="",IF(WEEKDAY(Z11,1)=MOD($R$3+5,7)+1,Z11,""),AE13+1)</f>
        <v/>
      </c>
      <c r="AG13" s="68" t="n"/>
    </row>
    <row r="14" ht="18" customFormat="1" customHeight="1" s="69">
      <c r="A14" s="7" t="n"/>
      <c r="B14" s="36">
        <f>IF(H13="","",IF(MONTH(H13+1)&lt;&gt;MONTH(H13),"",H13+1))</f>
        <v/>
      </c>
      <c r="C14" s="36">
        <f>IF(B14="","",IF(MONTH(B14+1)&lt;&gt;MONTH(B14),"",B14+1))</f>
        <v/>
      </c>
      <c r="D14" s="36">
        <f>IF(C14="","",IF(MONTH(C14+1)&lt;&gt;MONTH(C14),"",C14+1))</f>
        <v/>
      </c>
      <c r="E14" s="36">
        <f>IF(D14="","",IF(MONTH(D14+1)&lt;&gt;MONTH(D14),"",D14+1))</f>
        <v/>
      </c>
      <c r="F14" s="36">
        <f>IF(E14="","",IF(MONTH(E14+1)&lt;&gt;MONTH(E14),"",E14+1))</f>
        <v/>
      </c>
      <c r="G14" s="36">
        <f>IF(F14="","",IF(MONTH(F14+1)&lt;&gt;MONTH(F14),"",F14+1))</f>
        <v/>
      </c>
      <c r="H14" s="36">
        <f>IF(G14="","",IF(MONTH(G14+1)&lt;&gt;MONTH(G14),"",G14+1))</f>
        <v/>
      </c>
      <c r="I14" s="7" t="n"/>
      <c r="J14" s="36">
        <f>IF(P13="","",IF(MONTH(P13+1)&lt;&gt;MONTH(P13),"",P13+1))</f>
        <v/>
      </c>
      <c r="K14" s="36">
        <f>IF(J14="","",IF(MONTH(J14+1)&lt;&gt;MONTH(J14),"",J14+1))</f>
        <v/>
      </c>
      <c r="L14" s="36">
        <f>IF(K14="","",IF(MONTH(K14+1)&lt;&gt;MONTH(K14),"",K14+1))</f>
        <v/>
      </c>
      <c r="M14" s="36">
        <f>IF(L14="","",IF(MONTH(L14+1)&lt;&gt;MONTH(L14),"",L14+1))</f>
        <v/>
      </c>
      <c r="N14" s="36">
        <f>IF(M14="","",IF(MONTH(M14+1)&lt;&gt;MONTH(M14),"",M14+1))</f>
        <v/>
      </c>
      <c r="O14" s="36">
        <f>IF(N14="","",IF(MONTH(N14+1)&lt;&gt;MONTH(N14),"",N14+1))</f>
        <v/>
      </c>
      <c r="P14" s="36">
        <f>IF(O14="","",IF(MONTH(O14+1)&lt;&gt;MONTH(O14),"",O14+1))</f>
        <v/>
      </c>
      <c r="Q14" s="7" t="n"/>
      <c r="R14" s="36">
        <f>IF(X13="","",IF(MONTH(X13+1)&lt;&gt;MONTH(X13),"",X13+1))</f>
        <v/>
      </c>
      <c r="S14" s="36">
        <f>IF(R14="","",IF(MONTH(R14+1)&lt;&gt;MONTH(R14),"",R14+1))</f>
        <v/>
      </c>
      <c r="T14" s="36">
        <f>IF(S14="","",IF(MONTH(S14+1)&lt;&gt;MONTH(S14),"",S14+1))</f>
        <v/>
      </c>
      <c r="U14" s="36">
        <f>IF(T14="","",IF(MONTH(T14+1)&lt;&gt;MONTH(T14),"",T14+1))</f>
        <v/>
      </c>
      <c r="V14" s="36">
        <f>IF(U14="","",IF(MONTH(U14+1)&lt;&gt;MONTH(U14),"",U14+1))</f>
        <v/>
      </c>
      <c r="W14" s="36">
        <f>IF(V14="","",IF(MONTH(V14+1)&lt;&gt;MONTH(V14),"",V14+1))</f>
        <v/>
      </c>
      <c r="X14" s="36">
        <f>IF(W14="","",IF(MONTH(W14+1)&lt;&gt;MONTH(W14),"",W14+1))</f>
        <v/>
      </c>
      <c r="Y14" s="7" t="n"/>
      <c r="Z14" s="36">
        <f>IF(AF13="","",IF(MONTH(AF13+1)&lt;&gt;MONTH(AF13),"",AF13+1))</f>
        <v/>
      </c>
      <c r="AA14" s="36">
        <f>IF(Z14="","",IF(MONTH(Z14+1)&lt;&gt;MONTH(Z14),"",Z14+1))</f>
        <v/>
      </c>
      <c r="AB14" s="36">
        <f>IF(AA14="","",IF(MONTH(AA14+1)&lt;&gt;MONTH(AA14),"",AA14+1))</f>
        <v/>
      </c>
      <c r="AC14" s="36">
        <f>IF(AB14="","",IF(MONTH(AB14+1)&lt;&gt;MONTH(AB14),"",AB14+1))</f>
        <v/>
      </c>
      <c r="AD14" s="36">
        <f>IF(AC14="","",IF(MONTH(AC14+1)&lt;&gt;MONTH(AC14),"",AC14+1))</f>
        <v/>
      </c>
      <c r="AE14" s="36">
        <f>IF(AD14="","",IF(MONTH(AD14+1)&lt;&gt;MONTH(AD14),"",AD14+1))</f>
        <v/>
      </c>
      <c r="AF14" s="36">
        <f>IF(AE14="","",IF(MONTH(AE14+1)&lt;&gt;MONTH(AE14),"",AE14+1))</f>
        <v/>
      </c>
      <c r="AG14" s="68" t="n"/>
    </row>
    <row r="15" ht="18" customFormat="1" customHeight="1" s="69">
      <c r="A15" s="7" t="n"/>
      <c r="B15" s="36">
        <f>IF(H14="","",IF(MONTH(H14+1)&lt;&gt;MONTH(H14),"",H14+1))</f>
        <v/>
      </c>
      <c r="C15" s="36">
        <f>IF(B15="","",IF(MONTH(B15+1)&lt;&gt;MONTH(B15),"",B15+1))</f>
        <v/>
      </c>
      <c r="D15" s="36">
        <f>IF(C15="","",IF(MONTH(C15+1)&lt;&gt;MONTH(C15),"",C15+1))</f>
        <v/>
      </c>
      <c r="E15" s="36">
        <f>IF(D15="","",IF(MONTH(D15+1)&lt;&gt;MONTH(D15),"",D15+1))</f>
        <v/>
      </c>
      <c r="F15" s="36">
        <f>IF(E15="","",IF(MONTH(E15+1)&lt;&gt;MONTH(E15),"",E15+1))</f>
        <v/>
      </c>
      <c r="G15" s="36">
        <f>IF(F15="","",IF(MONTH(F15+1)&lt;&gt;MONTH(F15),"",F15+1))</f>
        <v/>
      </c>
      <c r="H15" s="36">
        <f>IF(G15="","",IF(MONTH(G15+1)&lt;&gt;MONTH(G15),"",G15+1))</f>
        <v/>
      </c>
      <c r="I15" s="7" t="n"/>
      <c r="J15" s="36">
        <f>IF(P14="","",IF(MONTH(P14+1)&lt;&gt;MONTH(P14),"",P14+1))</f>
        <v/>
      </c>
      <c r="K15" s="36">
        <f>IF(J15="","",IF(MONTH(J15+1)&lt;&gt;MONTH(J15),"",J15+1))</f>
        <v/>
      </c>
      <c r="L15" s="36">
        <f>IF(K15="","",IF(MONTH(K15+1)&lt;&gt;MONTH(K15),"",K15+1))</f>
        <v/>
      </c>
      <c r="M15" s="36">
        <f>IF(L15="","",IF(MONTH(L15+1)&lt;&gt;MONTH(L15),"",L15+1))</f>
        <v/>
      </c>
      <c r="N15" s="36">
        <f>IF(M15="","",IF(MONTH(M15+1)&lt;&gt;MONTH(M15),"",M15+1))</f>
        <v/>
      </c>
      <c r="O15" s="36">
        <f>IF(N15="","",IF(MONTH(N15+1)&lt;&gt;MONTH(N15),"",N15+1))</f>
        <v/>
      </c>
      <c r="P15" s="36">
        <f>IF(O15="","",IF(MONTH(O15+1)&lt;&gt;MONTH(O15),"",O15+1))</f>
        <v/>
      </c>
      <c r="Q15" s="7" t="n"/>
      <c r="R15" s="36">
        <f>IF(X14="","",IF(MONTH(X14+1)&lt;&gt;MONTH(X14),"",X14+1))</f>
        <v/>
      </c>
      <c r="S15" s="36">
        <f>IF(R15="","",IF(MONTH(R15+1)&lt;&gt;MONTH(R15),"",R15+1))</f>
        <v/>
      </c>
      <c r="T15" s="36">
        <f>IF(S15="","",IF(MONTH(S15+1)&lt;&gt;MONTH(S15),"",S15+1))</f>
        <v/>
      </c>
      <c r="U15" s="36">
        <f>IF(T15="","",IF(MONTH(T15+1)&lt;&gt;MONTH(T15),"",T15+1))</f>
        <v/>
      </c>
      <c r="V15" s="36">
        <f>IF(U15="","",IF(MONTH(U15+1)&lt;&gt;MONTH(U15),"",U15+1))</f>
        <v/>
      </c>
      <c r="W15" s="36">
        <f>IF(V15="","",IF(MONTH(V15+1)&lt;&gt;MONTH(V15),"",V15+1))</f>
        <v/>
      </c>
      <c r="X15" s="36">
        <f>IF(W15="","",IF(MONTH(W15+1)&lt;&gt;MONTH(W15),"",W15+1))</f>
        <v/>
      </c>
      <c r="Y15" s="7" t="n"/>
      <c r="Z15" s="36">
        <f>IF(AF14="","",IF(MONTH(AF14+1)&lt;&gt;MONTH(AF14),"",AF14+1))</f>
        <v/>
      </c>
      <c r="AA15" s="36">
        <f>IF(Z15="","",IF(MONTH(Z15+1)&lt;&gt;MONTH(Z15),"",Z15+1))</f>
        <v/>
      </c>
      <c r="AB15" s="36">
        <f>IF(AA15="","",IF(MONTH(AA15+1)&lt;&gt;MONTH(AA15),"",AA15+1))</f>
        <v/>
      </c>
      <c r="AC15" s="36">
        <f>IF(AB15="","",IF(MONTH(AB15+1)&lt;&gt;MONTH(AB15),"",AB15+1))</f>
        <v/>
      </c>
      <c r="AD15" s="36">
        <f>IF(AC15="","",IF(MONTH(AC15+1)&lt;&gt;MONTH(AC15),"",AC15+1))</f>
        <v/>
      </c>
      <c r="AE15" s="36">
        <f>IF(AD15="","",IF(MONTH(AD15+1)&lt;&gt;MONTH(AD15),"",AD15+1))</f>
        <v/>
      </c>
      <c r="AF15" s="36">
        <f>IF(AE15="","",IF(MONTH(AE15+1)&lt;&gt;MONTH(AE15),"",AE15+1))</f>
        <v/>
      </c>
      <c r="AG15" s="68" t="n"/>
    </row>
    <row r="16" ht="18" customFormat="1" customHeight="1" s="69">
      <c r="A16" s="7" t="n"/>
      <c r="B16" s="36">
        <f>IF(H15="","",IF(MONTH(H15+1)&lt;&gt;MONTH(H15),"",H15+1))</f>
        <v/>
      </c>
      <c r="C16" s="36">
        <f>IF(B16="","",IF(MONTH(B16+1)&lt;&gt;MONTH(B16),"",B16+1))</f>
        <v/>
      </c>
      <c r="D16" s="36">
        <f>IF(C16="","",IF(MONTH(C16+1)&lt;&gt;MONTH(C16),"",C16+1))</f>
        <v/>
      </c>
      <c r="E16" s="36">
        <f>IF(D16="","",IF(MONTH(D16+1)&lt;&gt;MONTH(D16),"",D16+1))</f>
        <v/>
      </c>
      <c r="F16" s="36">
        <f>IF(E16="","",IF(MONTH(E16+1)&lt;&gt;MONTH(E16),"",E16+1))</f>
        <v/>
      </c>
      <c r="G16" s="36">
        <f>IF(F16="","",IF(MONTH(F16+1)&lt;&gt;MONTH(F16),"",F16+1))</f>
        <v/>
      </c>
      <c r="H16" s="36">
        <f>IF(G16="","",IF(MONTH(G16+1)&lt;&gt;MONTH(G16),"",G16+1))</f>
        <v/>
      </c>
      <c r="I16" s="7" t="n"/>
      <c r="J16" s="36">
        <f>IF(P15="","",IF(MONTH(P15+1)&lt;&gt;MONTH(P15),"",P15+1))</f>
        <v/>
      </c>
      <c r="K16" s="36">
        <f>IF(J16="","",IF(MONTH(J16+1)&lt;&gt;MONTH(J16),"",J16+1))</f>
        <v/>
      </c>
      <c r="L16" s="36">
        <f>IF(K16="","",IF(MONTH(K16+1)&lt;&gt;MONTH(K16),"",K16+1))</f>
        <v/>
      </c>
      <c r="M16" s="36">
        <f>IF(L16="","",IF(MONTH(L16+1)&lt;&gt;MONTH(L16),"",L16+1))</f>
        <v/>
      </c>
      <c r="N16" s="36">
        <f>IF(M16="","",IF(MONTH(M16+1)&lt;&gt;MONTH(M16),"",M16+1))</f>
        <v/>
      </c>
      <c r="O16" s="36">
        <f>IF(N16="","",IF(MONTH(N16+1)&lt;&gt;MONTH(N16),"",N16+1))</f>
        <v/>
      </c>
      <c r="P16" s="36">
        <f>IF(O16="","",IF(MONTH(O16+1)&lt;&gt;MONTH(O16),"",O16+1))</f>
        <v/>
      </c>
      <c r="Q16" s="7" t="n"/>
      <c r="R16" s="36">
        <f>IF(X15="","",IF(MONTH(X15+1)&lt;&gt;MONTH(X15),"",X15+1))</f>
        <v/>
      </c>
      <c r="S16" s="36">
        <f>IF(R16="","",IF(MONTH(R16+1)&lt;&gt;MONTH(R16),"",R16+1))</f>
        <v/>
      </c>
      <c r="T16" s="36">
        <f>IF(S16="","",IF(MONTH(S16+1)&lt;&gt;MONTH(S16),"",S16+1))</f>
        <v/>
      </c>
      <c r="U16" s="36">
        <f>IF(T16="","",IF(MONTH(T16+1)&lt;&gt;MONTH(T16),"",T16+1))</f>
        <v/>
      </c>
      <c r="V16" s="36">
        <f>IF(U16="","",IF(MONTH(U16+1)&lt;&gt;MONTH(U16),"",U16+1))</f>
        <v/>
      </c>
      <c r="W16" s="36">
        <f>IF(V16="","",IF(MONTH(V16+1)&lt;&gt;MONTH(V16),"",V16+1))</f>
        <v/>
      </c>
      <c r="X16" s="36">
        <f>IF(W16="","",IF(MONTH(W16+1)&lt;&gt;MONTH(W16),"",W16+1))</f>
        <v/>
      </c>
      <c r="Y16" s="7" t="n"/>
      <c r="Z16" s="36">
        <f>IF(AF15="","",IF(MONTH(AF15+1)&lt;&gt;MONTH(AF15),"",AF15+1))</f>
        <v/>
      </c>
      <c r="AA16" s="36">
        <f>IF(Z16="","",IF(MONTH(Z16+1)&lt;&gt;MONTH(Z16),"",Z16+1))</f>
        <v/>
      </c>
      <c r="AB16" s="36">
        <f>IF(AA16="","",IF(MONTH(AA16+1)&lt;&gt;MONTH(AA16),"",AA16+1))</f>
        <v/>
      </c>
      <c r="AC16" s="36">
        <f>IF(AB16="","",IF(MONTH(AB16+1)&lt;&gt;MONTH(AB16),"",AB16+1))</f>
        <v/>
      </c>
      <c r="AD16" s="36">
        <f>IF(AC16="","",IF(MONTH(AC16+1)&lt;&gt;MONTH(AC16),"",AC16+1))</f>
        <v/>
      </c>
      <c r="AE16" s="36">
        <f>IF(AD16="","",IF(MONTH(AD16+1)&lt;&gt;MONTH(AD16),"",AD16+1))</f>
        <v/>
      </c>
      <c r="AF16" s="36">
        <f>IF(AE16="","",IF(MONTH(AE16+1)&lt;&gt;MONTH(AE16),"",AE16+1))</f>
        <v/>
      </c>
      <c r="AG16" s="68" t="n"/>
    </row>
    <row r="17" ht="18" customFormat="1" customHeight="1" s="69">
      <c r="A17" s="7" t="n"/>
      <c r="B17" s="36">
        <f>IF(H16="","",IF(MONTH(H16+1)&lt;&gt;MONTH(H16),"",H16+1))</f>
        <v/>
      </c>
      <c r="C17" s="36">
        <f>IF(B17="","",IF(MONTH(B17+1)&lt;&gt;MONTH(B17),"",B17+1))</f>
        <v/>
      </c>
      <c r="D17" s="36">
        <f>IF(C17="","",IF(MONTH(C17+1)&lt;&gt;MONTH(C17),"",C17+1))</f>
        <v/>
      </c>
      <c r="E17" s="36">
        <f>IF(D17="","",IF(MONTH(D17+1)&lt;&gt;MONTH(D17),"",D17+1))</f>
        <v/>
      </c>
      <c r="F17" s="36">
        <f>IF(E17="","",IF(MONTH(E17+1)&lt;&gt;MONTH(E17),"",E17+1))</f>
        <v/>
      </c>
      <c r="G17" s="36">
        <f>IF(F17="","",IF(MONTH(F17+1)&lt;&gt;MONTH(F17),"",F17+1))</f>
        <v/>
      </c>
      <c r="H17" s="36">
        <f>IF(G17="","",IF(MONTH(G17+1)&lt;&gt;MONTH(G17),"",G17+1))</f>
        <v/>
      </c>
      <c r="I17" s="7" t="n"/>
      <c r="J17" s="36">
        <f>IF(P16="","",IF(MONTH(P16+1)&lt;&gt;MONTH(P16),"",P16+1))</f>
        <v/>
      </c>
      <c r="K17" s="36">
        <f>IF(J17="","",IF(MONTH(J17+1)&lt;&gt;MONTH(J17),"",J17+1))</f>
        <v/>
      </c>
      <c r="L17" s="36">
        <f>IF(K17="","",IF(MONTH(K17+1)&lt;&gt;MONTH(K17),"",K17+1))</f>
        <v/>
      </c>
      <c r="M17" s="36">
        <f>IF(L17="","",IF(MONTH(L17+1)&lt;&gt;MONTH(L17),"",L17+1))</f>
        <v/>
      </c>
      <c r="N17" s="36">
        <f>IF(M17="","",IF(MONTH(M17+1)&lt;&gt;MONTH(M17),"",M17+1))</f>
        <v/>
      </c>
      <c r="O17" s="36">
        <f>IF(N17="","",IF(MONTH(N17+1)&lt;&gt;MONTH(N17),"",N17+1))</f>
        <v/>
      </c>
      <c r="P17" s="36">
        <f>IF(O17="","",IF(MONTH(O17+1)&lt;&gt;MONTH(O17),"",O17+1))</f>
        <v/>
      </c>
      <c r="Q17" s="7" t="n"/>
      <c r="R17" s="36">
        <f>IF(X16="","",IF(MONTH(X16+1)&lt;&gt;MONTH(X16),"",X16+1))</f>
        <v/>
      </c>
      <c r="S17" s="36">
        <f>IF(R17="","",IF(MONTH(R17+1)&lt;&gt;MONTH(R17),"",R17+1))</f>
        <v/>
      </c>
      <c r="T17" s="36">
        <f>IF(S17="","",IF(MONTH(S17+1)&lt;&gt;MONTH(S17),"",S17+1))</f>
        <v/>
      </c>
      <c r="U17" s="36">
        <f>IF(T17="","",IF(MONTH(T17+1)&lt;&gt;MONTH(T17),"",T17+1))</f>
        <v/>
      </c>
      <c r="V17" s="36">
        <f>IF(U17="","",IF(MONTH(U17+1)&lt;&gt;MONTH(U17),"",U17+1))</f>
        <v/>
      </c>
      <c r="W17" s="36">
        <f>IF(V17="","",IF(MONTH(V17+1)&lt;&gt;MONTH(V17),"",V17+1))</f>
        <v/>
      </c>
      <c r="X17" s="36">
        <f>IF(W17="","",IF(MONTH(W17+1)&lt;&gt;MONTH(W17),"",W17+1))</f>
        <v/>
      </c>
      <c r="Y17" s="7" t="n"/>
      <c r="Z17" s="36">
        <f>IF(AF16="","",IF(MONTH(AF16+1)&lt;&gt;MONTH(AF16),"",AF16+1))</f>
        <v/>
      </c>
      <c r="AA17" s="36">
        <f>IF(Z17="","",IF(MONTH(Z17+1)&lt;&gt;MONTH(Z17),"",Z17+1))</f>
        <v/>
      </c>
      <c r="AB17" s="36">
        <f>IF(AA17="","",IF(MONTH(AA17+1)&lt;&gt;MONTH(AA17),"",AA17+1))</f>
        <v/>
      </c>
      <c r="AC17" s="36">
        <f>IF(AB17="","",IF(MONTH(AB17+1)&lt;&gt;MONTH(AB17),"",AB17+1))</f>
        <v/>
      </c>
      <c r="AD17" s="36">
        <f>IF(AC17="","",IF(MONTH(AC17+1)&lt;&gt;MONTH(AC17),"",AC17+1))</f>
        <v/>
      </c>
      <c r="AE17" s="36">
        <f>IF(AD17="","",IF(MONTH(AD17+1)&lt;&gt;MONTH(AD17),"",AD17+1))</f>
        <v/>
      </c>
      <c r="AF17" s="36">
        <f>IF(AE17="","",IF(MONTH(AE17+1)&lt;&gt;MONTH(AE17),"",AE17+1))</f>
        <v/>
      </c>
      <c r="AG17" s="68" t="n"/>
    </row>
    <row r="18" ht="18" customFormat="1" customHeight="1" s="69">
      <c r="A18" s="7" t="n"/>
      <c r="B18" s="36">
        <f>IF(H17="","",IF(MONTH(H17+1)&lt;&gt;MONTH(H17),"",H17+1))</f>
        <v/>
      </c>
      <c r="C18" s="36">
        <f>IF(B18="","",IF(MONTH(B18+1)&lt;&gt;MONTH(B18),"",B18+1))</f>
        <v/>
      </c>
      <c r="D18" s="36">
        <f>IF(C18="","",IF(MONTH(C18+1)&lt;&gt;MONTH(C18),"",C18+1))</f>
        <v/>
      </c>
      <c r="E18" s="36">
        <f>IF(D18="","",IF(MONTH(D18+1)&lt;&gt;MONTH(D18),"",D18+1))</f>
        <v/>
      </c>
      <c r="F18" s="36">
        <f>IF(E18="","",IF(MONTH(E18+1)&lt;&gt;MONTH(E18),"",E18+1))</f>
        <v/>
      </c>
      <c r="G18" s="36">
        <f>IF(F18="","",IF(MONTH(F18+1)&lt;&gt;MONTH(F18),"",F18+1))</f>
        <v/>
      </c>
      <c r="H18" s="36">
        <f>IF(G18="","",IF(MONTH(G18+1)&lt;&gt;MONTH(G18),"",G18+1))</f>
        <v/>
      </c>
      <c r="I18" s="7" t="n"/>
      <c r="J18" s="36">
        <f>IF(P17="","",IF(MONTH(P17+1)&lt;&gt;MONTH(P17),"",P17+1))</f>
        <v/>
      </c>
      <c r="K18" s="36">
        <f>IF(J18="","",IF(MONTH(J18+1)&lt;&gt;MONTH(J18),"",J18+1))</f>
        <v/>
      </c>
      <c r="L18" s="36">
        <f>IF(K18="","",IF(MONTH(K18+1)&lt;&gt;MONTH(K18),"",K18+1))</f>
        <v/>
      </c>
      <c r="M18" s="36">
        <f>IF(L18="","",IF(MONTH(L18+1)&lt;&gt;MONTH(L18),"",L18+1))</f>
        <v/>
      </c>
      <c r="N18" s="36">
        <f>IF(M18="","",IF(MONTH(M18+1)&lt;&gt;MONTH(M18),"",M18+1))</f>
        <v/>
      </c>
      <c r="O18" s="36">
        <f>IF(N18="","",IF(MONTH(N18+1)&lt;&gt;MONTH(N18),"",N18+1))</f>
        <v/>
      </c>
      <c r="P18" s="36">
        <f>IF(O18="","",IF(MONTH(O18+1)&lt;&gt;MONTH(O18),"",O18+1))</f>
        <v/>
      </c>
      <c r="Q18" s="7" t="n"/>
      <c r="R18" s="36">
        <f>IF(X17="","",IF(MONTH(X17+1)&lt;&gt;MONTH(X17),"",X17+1))</f>
        <v/>
      </c>
      <c r="S18" s="36">
        <f>IF(R18="","",IF(MONTH(R18+1)&lt;&gt;MONTH(R18),"",R18+1))</f>
        <v/>
      </c>
      <c r="T18" s="36">
        <f>IF(S18="","",IF(MONTH(S18+1)&lt;&gt;MONTH(S18),"",S18+1))</f>
        <v/>
      </c>
      <c r="U18" s="36">
        <f>IF(T18="","",IF(MONTH(T18+1)&lt;&gt;MONTH(T18),"",T18+1))</f>
        <v/>
      </c>
      <c r="V18" s="36">
        <f>IF(U18="","",IF(MONTH(U18+1)&lt;&gt;MONTH(U18),"",U18+1))</f>
        <v/>
      </c>
      <c r="W18" s="36">
        <f>IF(V18="","",IF(MONTH(V18+1)&lt;&gt;MONTH(V18),"",V18+1))</f>
        <v/>
      </c>
      <c r="X18" s="36">
        <f>IF(W18="","",IF(MONTH(W18+1)&lt;&gt;MONTH(W18),"",W18+1))</f>
        <v/>
      </c>
      <c r="Y18" s="7" t="n"/>
      <c r="Z18" s="36">
        <f>IF(AF17="","",IF(MONTH(AF17+1)&lt;&gt;MONTH(AF17),"",AF17+1))</f>
        <v/>
      </c>
      <c r="AA18" s="36">
        <f>IF(Z18="","",IF(MONTH(Z18+1)&lt;&gt;MONTH(Z18),"",Z18+1))</f>
        <v/>
      </c>
      <c r="AB18" s="36">
        <f>IF(AA18="","",IF(MONTH(AA18+1)&lt;&gt;MONTH(AA18),"",AA18+1))</f>
        <v/>
      </c>
      <c r="AC18" s="36">
        <f>IF(AB18="","",IF(MONTH(AB18+1)&lt;&gt;MONTH(AB18),"",AB18+1))</f>
        <v/>
      </c>
      <c r="AD18" s="36">
        <f>IF(AC18="","",IF(MONTH(AC18+1)&lt;&gt;MONTH(AC18),"",AC18+1))</f>
        <v/>
      </c>
      <c r="AE18" s="36">
        <f>IF(AD18="","",IF(MONTH(AD18+1)&lt;&gt;MONTH(AD18),"",AD18+1))</f>
        <v/>
      </c>
      <c r="AF18" s="36">
        <f>IF(AE18="","",IF(MONTH(AE18+1)&lt;&gt;MONTH(AE18),"",AE18+1))</f>
        <v/>
      </c>
      <c r="AG18" s="68" t="n"/>
    </row>
    <row r="19" ht="18" customHeight="1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</row>
    <row r="20" ht="22.5" customFormat="1" customHeight="1" s="66">
      <c r="A20" s="71" t="n"/>
      <c r="B20" s="65">
        <f>DATE(YEAR(Z11+42),MONTH(Z11+42),1)</f>
        <v/>
      </c>
      <c r="G20" s="63">
        <f>D3</f>
        <v/>
      </c>
      <c r="H20" s="64" t="n"/>
      <c r="I20" s="7" t="n"/>
      <c r="J20" s="65">
        <f>DATE(YEAR(B20+42),MONTH(B20+42),1)</f>
        <v/>
      </c>
      <c r="O20" s="63">
        <f>D3</f>
        <v/>
      </c>
      <c r="P20" s="64" t="n"/>
      <c r="Q20" s="7" t="n"/>
      <c r="R20" s="65">
        <f>DATE(YEAR(J20+42),MONTH(J20+42),1)</f>
        <v/>
      </c>
      <c r="W20" s="63">
        <f>D3</f>
        <v/>
      </c>
      <c r="X20" s="64" t="n"/>
      <c r="Y20" s="7" t="n"/>
      <c r="Z20" s="65">
        <f>DATE(YEAR(R20+42),MONTH(R20+42),1)</f>
        <v/>
      </c>
      <c r="AE20" s="63">
        <f>D3</f>
        <v/>
      </c>
      <c r="AF20" s="64" t="n"/>
      <c r="AG20" s="10" t="n"/>
      <c r="AI20" s="15" t="n"/>
    </row>
    <row r="21" ht="18" customFormat="1" customHeight="1" s="68">
      <c r="A21" s="7" t="n"/>
      <c r="B21" s="38">
        <f>CHOOSE(1+MOD($R$3+1-2,7),"Su","M","Tu","W","Th","F","Sa")</f>
        <v/>
      </c>
      <c r="C21" s="39">
        <f>CHOOSE(1+MOD($R$3+2-2,7),"Su","M","Tu","W","Th","F","Sa")</f>
        <v/>
      </c>
      <c r="D21" s="39">
        <f>CHOOSE(1+MOD($R$3+3-2,7),"Su","M","Tu","W","Th","F","Sa")</f>
        <v/>
      </c>
      <c r="E21" s="39">
        <f>CHOOSE(1+MOD($R$3+4-2,7),"Su","M","Tu","W","Th","F","Sa")</f>
        <v/>
      </c>
      <c r="F21" s="39">
        <f>CHOOSE(1+MOD($R$3+5-2,7),"Su","M","Tu","W","Th","F","Sa")</f>
        <v/>
      </c>
      <c r="G21" s="39">
        <f>CHOOSE(1+MOD($R$3+6-2,7),"Su","M","Tu","W","Th","F","Sa")</f>
        <v/>
      </c>
      <c r="H21" s="40">
        <f>CHOOSE(1+MOD($R$3+7-2,7),"Su","M","Tu","W","Th","F","Sa")</f>
        <v/>
      </c>
      <c r="I21" s="7" t="n"/>
      <c r="J21" s="38">
        <f>CHOOSE(1+MOD($R$3+1-2,7),"Su","M","Tu","W","Th","F","Sa")</f>
        <v/>
      </c>
      <c r="K21" s="39">
        <f>CHOOSE(1+MOD($R$3+2-2,7),"Su","M","Tu","W","Th","F","Sa")</f>
        <v/>
      </c>
      <c r="L21" s="39">
        <f>CHOOSE(1+MOD($R$3+3-2,7),"Su","M","Tu","W","Th","F","Sa")</f>
        <v/>
      </c>
      <c r="M21" s="39">
        <f>CHOOSE(1+MOD($R$3+4-2,7),"Su","M","Tu","W","Th","F","Sa")</f>
        <v/>
      </c>
      <c r="N21" s="39">
        <f>CHOOSE(1+MOD($R$3+5-2,7),"Su","M","Tu","W","Th","F","Sa")</f>
        <v/>
      </c>
      <c r="O21" s="39">
        <f>CHOOSE(1+MOD($R$3+6-2,7),"Su","M","Tu","W","Th","F","Sa")</f>
        <v/>
      </c>
      <c r="P21" s="40">
        <f>CHOOSE(1+MOD($R$3+7-2,7),"Su","M","Tu","W","Th","F","Sa")</f>
        <v/>
      </c>
      <c r="Q21" s="7" t="n"/>
      <c r="R21" s="38">
        <f>CHOOSE(1+MOD($R$3+1-2,7),"Su","M","Tu","W","Th","F","Sa")</f>
        <v/>
      </c>
      <c r="S21" s="39">
        <f>CHOOSE(1+MOD($R$3+2-2,7),"Su","M","Tu","W","Th","F","Sa")</f>
        <v/>
      </c>
      <c r="T21" s="39">
        <f>CHOOSE(1+MOD($R$3+3-2,7),"Su","M","Tu","W","Th","F","Sa")</f>
        <v/>
      </c>
      <c r="U21" s="39">
        <f>CHOOSE(1+MOD($R$3+4-2,7),"Su","M","Tu","W","Th","F","Sa")</f>
        <v/>
      </c>
      <c r="V21" s="39">
        <f>CHOOSE(1+MOD($R$3+5-2,7),"Su","M","Tu","W","Th","F","Sa")</f>
        <v/>
      </c>
      <c r="W21" s="39">
        <f>CHOOSE(1+MOD($R$3+6-2,7),"Su","M","Tu","W","Th","F","Sa")</f>
        <v/>
      </c>
      <c r="X21" s="40">
        <f>CHOOSE(1+MOD($R$3+7-2,7),"Su","M","Tu","W","Th","F","Sa")</f>
        <v/>
      </c>
      <c r="Y21" s="7" t="n"/>
      <c r="Z21" s="38">
        <f>CHOOSE(1+MOD($R$3+1-2,7),"Su","M","Tu","W","Th","F","Sa")</f>
        <v/>
      </c>
      <c r="AA21" s="39">
        <f>CHOOSE(1+MOD($R$3+2-2,7),"Su","M","Tu","W","Th","F","Sa")</f>
        <v/>
      </c>
      <c r="AB21" s="39">
        <f>CHOOSE(1+MOD($R$3+3-2,7),"Su","M","Tu","W","Th","F","Sa")</f>
        <v/>
      </c>
      <c r="AC21" s="39">
        <f>CHOOSE(1+MOD($R$3+4-2,7),"Su","M","Tu","W","Th","F","Sa")</f>
        <v/>
      </c>
      <c r="AD21" s="39">
        <f>CHOOSE(1+MOD($R$3+5-2,7),"Su","M","Tu","W","Th","F","Sa")</f>
        <v/>
      </c>
      <c r="AE21" s="39">
        <f>CHOOSE(1+MOD($R$3+6-2,7),"Su","M","Tu","W","Th","F","Sa")</f>
        <v/>
      </c>
      <c r="AF21" s="40">
        <f>CHOOSE(1+MOD($R$3+7-2,7),"Su","M","Tu","W","Th","F","Sa")</f>
        <v/>
      </c>
      <c r="AI21" s="16" t="n"/>
    </row>
    <row r="22" ht="18" customFormat="1" customHeight="1" s="69">
      <c r="A22" s="7" t="n"/>
      <c r="B22" s="36">
        <f>IF(WEEKDAY(B20,1)=$R$3,B20,"")</f>
        <v/>
      </c>
      <c r="C22" s="36">
        <f>IF(B22="",IF(WEEKDAY(B20,1)=MOD($R$3,7)+1,B20,""),B22+1)</f>
        <v/>
      </c>
      <c r="D22" s="36">
        <f>IF(C22="",IF(WEEKDAY(B20,1)=MOD($R$3+1,7)+1,B20,""),C22+1)</f>
        <v/>
      </c>
      <c r="E22" s="36">
        <f>IF(D22="",IF(WEEKDAY(B20,1)=MOD($R$3+2,7)+1,B20,""),D22+1)</f>
        <v/>
      </c>
      <c r="F22" s="36">
        <f>IF(E22="",IF(WEEKDAY(B20,1)=MOD($R$3+3,7)+1,B20,""),E22+1)</f>
        <v/>
      </c>
      <c r="G22" s="36">
        <f>IF(F22="",IF(WEEKDAY(B20,1)=MOD($R$3+4,7)+1,B20,""),F22+1)</f>
        <v/>
      </c>
      <c r="H22" s="36">
        <f>IF(G22="",IF(WEEKDAY(B20,1)=MOD($R$3+5,7)+1,B20,""),G22+1)</f>
        <v/>
      </c>
      <c r="I22" s="7" t="n"/>
      <c r="J22" s="36">
        <f>IF(WEEKDAY(J20,1)=$R$3,J20,"")</f>
        <v/>
      </c>
      <c r="K22" s="36">
        <f>IF(J22="",IF(WEEKDAY(J20,1)=MOD($R$3,7)+1,J20,""),J22+1)</f>
        <v/>
      </c>
      <c r="L22" s="36">
        <f>IF(K22="",IF(WEEKDAY(J20,1)=MOD($R$3+1,7)+1,J20,""),K22+1)</f>
        <v/>
      </c>
      <c r="M22" s="36">
        <f>IF(L22="",IF(WEEKDAY(J20,1)=MOD($R$3+2,7)+1,J20,""),L22+1)</f>
        <v/>
      </c>
      <c r="N22" s="36">
        <f>IF(M22="",IF(WEEKDAY(J20,1)=MOD($R$3+3,7)+1,J20,""),M22+1)</f>
        <v/>
      </c>
      <c r="O22" s="36">
        <f>IF(N22="",IF(WEEKDAY(J20,1)=MOD($R$3+4,7)+1,J20,""),N22+1)</f>
        <v/>
      </c>
      <c r="P22" s="36">
        <f>IF(O22="",IF(WEEKDAY(J20,1)=MOD($R$3+5,7)+1,J20,""),O22+1)</f>
        <v/>
      </c>
      <c r="Q22" s="7" t="n"/>
      <c r="R22" s="36">
        <f>IF(WEEKDAY(R20,1)=$R$3,R20,"")</f>
        <v/>
      </c>
      <c r="S22" s="36">
        <f>IF(R22="",IF(WEEKDAY(R20,1)=MOD($R$3,7)+1,R20,""),R22+1)</f>
        <v/>
      </c>
      <c r="T22" s="36">
        <f>IF(S22="",IF(WEEKDAY(R20,1)=MOD($R$3+1,7)+1,R20,""),S22+1)</f>
        <v/>
      </c>
      <c r="U22" s="36">
        <f>IF(T22="",IF(WEEKDAY(R20,1)=MOD($R$3+2,7)+1,R20,""),T22+1)</f>
        <v/>
      </c>
      <c r="V22" s="36">
        <f>IF(U22="",IF(WEEKDAY(R20,1)=MOD($R$3+3,7)+1,R20,""),U22+1)</f>
        <v/>
      </c>
      <c r="W22" s="36">
        <f>IF(V22="",IF(WEEKDAY(R20,1)=MOD($R$3+4,7)+1,R20,""),V22+1)</f>
        <v/>
      </c>
      <c r="X22" s="36">
        <f>IF(W22="",IF(WEEKDAY(R20,1)=MOD($R$3+5,7)+1,R20,""),W22+1)</f>
        <v/>
      </c>
      <c r="Y22" s="7" t="n"/>
      <c r="Z22" s="36">
        <f>IF(WEEKDAY(Z20,1)=$R$3,Z20,"")</f>
        <v/>
      </c>
      <c r="AA22" s="36">
        <f>IF(Z22="",IF(WEEKDAY(Z20,1)=MOD($R$3,7)+1,Z20,""),Z22+1)</f>
        <v/>
      </c>
      <c r="AB22" s="36">
        <f>IF(AA22="",IF(WEEKDAY(Z20,1)=MOD($R$3+1,7)+1,Z20,""),AA22+1)</f>
        <v/>
      </c>
      <c r="AC22" s="36">
        <f>IF(AB22="",IF(WEEKDAY(Z20,1)=MOD($R$3+2,7)+1,Z20,""),AB22+1)</f>
        <v/>
      </c>
      <c r="AD22" s="36">
        <f>IF(AC22="",IF(WEEKDAY(Z20,1)=MOD($R$3+3,7)+1,Z20,""),AC22+1)</f>
        <v/>
      </c>
      <c r="AE22" s="36">
        <f>IF(AD22="",IF(WEEKDAY(Z20,1)=MOD($R$3+4,7)+1,Z20,""),AD22+1)</f>
        <v/>
      </c>
      <c r="AF22" s="36">
        <f>IF(AE22="",IF(WEEKDAY(Z20,1)=MOD($R$3+5,7)+1,Z20,""),AE22+1)</f>
        <v/>
      </c>
      <c r="AG22" s="68" t="n"/>
      <c r="AI22" s="16" t="n"/>
    </row>
    <row r="23" ht="18" customFormat="1" customHeight="1" s="69">
      <c r="A23" s="7" t="n"/>
      <c r="B23" s="36">
        <f>IF(H22="","",IF(MONTH(H22+1)&lt;&gt;MONTH(H22),"",H22+1))</f>
        <v/>
      </c>
      <c r="C23" s="36">
        <f>IF(B23="","",IF(MONTH(B23+1)&lt;&gt;MONTH(B23),"",B23+1))</f>
        <v/>
      </c>
      <c r="D23" s="36">
        <f>IF(C23="","",IF(MONTH(C23+1)&lt;&gt;MONTH(C23),"",C23+1))</f>
        <v/>
      </c>
      <c r="E23" s="36">
        <f>IF(D23="","",IF(MONTH(D23+1)&lt;&gt;MONTH(D23),"",D23+1))</f>
        <v/>
      </c>
      <c r="F23" s="36">
        <f>IF(E23="","",IF(MONTH(E23+1)&lt;&gt;MONTH(E23),"",E23+1))</f>
        <v/>
      </c>
      <c r="G23" s="36">
        <f>IF(F23="","",IF(MONTH(F23+1)&lt;&gt;MONTH(F23),"",F23+1))</f>
        <v/>
      </c>
      <c r="H23" s="36">
        <f>IF(G23="","",IF(MONTH(G23+1)&lt;&gt;MONTH(G23),"",G23+1))</f>
        <v/>
      </c>
      <c r="I23" s="7" t="n"/>
      <c r="J23" s="36">
        <f>IF(P22="","",IF(MONTH(P22+1)&lt;&gt;MONTH(P22),"",P22+1))</f>
        <v/>
      </c>
      <c r="K23" s="36">
        <f>IF(J23="","",IF(MONTH(J23+1)&lt;&gt;MONTH(J23),"",J23+1))</f>
        <v/>
      </c>
      <c r="L23" s="36">
        <f>IF(K23="","",IF(MONTH(K23+1)&lt;&gt;MONTH(K23),"",K23+1))</f>
        <v/>
      </c>
      <c r="M23" s="36">
        <f>IF(L23="","",IF(MONTH(L23+1)&lt;&gt;MONTH(L23),"",L23+1))</f>
        <v/>
      </c>
      <c r="N23" s="36">
        <f>IF(M23="","",IF(MONTH(M23+1)&lt;&gt;MONTH(M23),"",M23+1))</f>
        <v/>
      </c>
      <c r="O23" s="36">
        <f>IF(N23="","",IF(MONTH(N23+1)&lt;&gt;MONTH(N23),"",N23+1))</f>
        <v/>
      </c>
      <c r="P23" s="36">
        <f>IF(O23="","",IF(MONTH(O23+1)&lt;&gt;MONTH(O23),"",O23+1))</f>
        <v/>
      </c>
      <c r="Q23" s="7" t="n"/>
      <c r="R23" s="36">
        <f>IF(X22="","",IF(MONTH(X22+1)&lt;&gt;MONTH(X22),"",X22+1))</f>
        <v/>
      </c>
      <c r="S23" s="36">
        <f>IF(R23="","",IF(MONTH(R23+1)&lt;&gt;MONTH(R23),"",R23+1))</f>
        <v/>
      </c>
      <c r="T23" s="36">
        <f>IF(S23="","",IF(MONTH(S23+1)&lt;&gt;MONTH(S23),"",S23+1))</f>
        <v/>
      </c>
      <c r="U23" s="36">
        <f>IF(T23="","",IF(MONTH(T23+1)&lt;&gt;MONTH(T23),"",T23+1))</f>
        <v/>
      </c>
      <c r="V23" s="36">
        <f>IF(U23="","",IF(MONTH(U23+1)&lt;&gt;MONTH(U23),"",U23+1))</f>
        <v/>
      </c>
      <c r="W23" s="36">
        <f>IF(V23="","",IF(MONTH(V23+1)&lt;&gt;MONTH(V23),"",V23+1))</f>
        <v/>
      </c>
      <c r="X23" s="36">
        <f>IF(W23="","",IF(MONTH(W23+1)&lt;&gt;MONTH(W23),"",W23+1))</f>
        <v/>
      </c>
      <c r="Y23" s="7" t="n">
        <v>9</v>
      </c>
      <c r="Z23" s="36">
        <f>IF(AF22="","",IF(MONTH(AF22+1)&lt;&gt;MONTH(AF22),"",AF22+1))</f>
        <v/>
      </c>
      <c r="AA23" s="51">
        <f>IF(Z23="","",IF(MONTH(Z23+1)&lt;&gt;MONTH(Z23),"",Z23+1))</f>
        <v/>
      </c>
      <c r="AB23" s="51">
        <f>IF(AA23="","",IF(MONTH(AA23+1)&lt;&gt;MONTH(AA23),"",AA23+1))</f>
        <v/>
      </c>
      <c r="AC23" s="51">
        <f>IF(AB23="","",IF(MONTH(AB23+1)&lt;&gt;MONTH(AB23),"",AB23+1))</f>
        <v/>
      </c>
      <c r="AD23" s="51">
        <f>IF(AC23="","",IF(MONTH(AC23+1)&lt;&gt;MONTH(AC23),"",AC23+1))</f>
        <v/>
      </c>
      <c r="AE23" s="51">
        <f>IF(AD23="","",IF(MONTH(AD23+1)&lt;&gt;MONTH(AD23),"",AD23+1))</f>
        <v/>
      </c>
      <c r="AF23" s="36">
        <f>IF(AE23="","",IF(MONTH(AE23+1)&lt;&gt;MONTH(AE23),"",AE23+1))</f>
        <v/>
      </c>
      <c r="AG23" s="68" t="n"/>
      <c r="AI23" s="16" t="n"/>
    </row>
    <row r="24" ht="18" customFormat="1" customHeight="1" s="69">
      <c r="A24" s="7" t="n"/>
      <c r="B24" s="36">
        <f>IF(H23="","",IF(MONTH(H23+1)&lt;&gt;MONTH(H23),"",H23+1))</f>
        <v/>
      </c>
      <c r="C24" s="36">
        <f>IF(B24="","",IF(MONTH(B24+1)&lt;&gt;MONTH(B24),"",B24+1))</f>
        <v/>
      </c>
      <c r="D24" s="36">
        <f>IF(C24="","",IF(MONTH(C24+1)&lt;&gt;MONTH(C24),"",C24+1))</f>
        <v/>
      </c>
      <c r="E24" s="36">
        <f>IF(D24="","",IF(MONTH(D24+1)&lt;&gt;MONTH(D24),"",D24+1))</f>
        <v/>
      </c>
      <c r="F24" s="36">
        <f>IF(E24="","",IF(MONTH(E24+1)&lt;&gt;MONTH(E24),"",E24+1))</f>
        <v/>
      </c>
      <c r="G24" s="36">
        <f>IF(F24="","",IF(MONTH(F24+1)&lt;&gt;MONTH(F24),"",F24+1))</f>
        <v/>
      </c>
      <c r="H24" s="36">
        <f>IF(G24="","",IF(MONTH(G24+1)&lt;&gt;MONTH(G24),"",G24+1))</f>
        <v/>
      </c>
      <c r="I24" s="7" t="n"/>
      <c r="J24" s="36">
        <f>IF(P23="","",IF(MONTH(P23+1)&lt;&gt;MONTH(P23),"",P23+1))</f>
        <v/>
      </c>
      <c r="K24" s="36">
        <f>IF(J24="","",IF(MONTH(J24+1)&lt;&gt;MONTH(J24),"",J24+1))</f>
        <v/>
      </c>
      <c r="L24" s="36">
        <f>IF(K24="","",IF(MONTH(K24+1)&lt;&gt;MONTH(K24),"",K24+1))</f>
        <v/>
      </c>
      <c r="M24" s="36">
        <f>IF(L24="","",IF(MONTH(L24+1)&lt;&gt;MONTH(L24),"",L24+1))</f>
        <v/>
      </c>
      <c r="N24" s="36">
        <f>IF(M24="","",IF(MONTH(M24+1)&lt;&gt;MONTH(M24),"",M24+1))</f>
        <v/>
      </c>
      <c r="O24" s="36">
        <f>IF(N24="","",IF(MONTH(N24+1)&lt;&gt;MONTH(N24),"",N24+1))</f>
        <v/>
      </c>
      <c r="P24" s="36">
        <f>IF(O24="","",IF(MONTH(O24+1)&lt;&gt;MONTH(O24),"",O24+1))</f>
        <v/>
      </c>
      <c r="Q24" s="7" t="n">
        <v>12</v>
      </c>
      <c r="R24" s="36">
        <f>IF(X23="","",IF(MONTH(X23+1)&lt;&gt;MONTH(X23),"",X23+1))</f>
        <v/>
      </c>
      <c r="S24" s="60">
        <f>IF(R24="","",IF(MONTH(R24+1)&lt;&gt;MONTH(R24),"",R24+1))</f>
        <v/>
      </c>
      <c r="T24" s="51">
        <f>IF(S24="","",IF(MONTH(S24+1)&lt;&gt;MONTH(S24),"",S24+1))</f>
        <v/>
      </c>
      <c r="U24" s="51">
        <f>IF(T24="","",IF(MONTH(T24+1)&lt;&gt;MONTH(T24),"",T24+1))</f>
        <v/>
      </c>
      <c r="V24" s="51">
        <f>IF(U24="","",IF(MONTH(U24+1)&lt;&gt;MONTH(U24),"",U24+1))</f>
        <v/>
      </c>
      <c r="W24" s="51">
        <f>IF(V24="","",IF(MONTH(V24+1)&lt;&gt;MONTH(V24),"",V24+1))</f>
        <v/>
      </c>
      <c r="X24" s="36">
        <f>IF(W24="","",IF(MONTH(W24+1)&lt;&gt;MONTH(W24),"",W24+1))</f>
        <v/>
      </c>
      <c r="Y24" s="7" t="n">
        <v>8</v>
      </c>
      <c r="Z24" s="36">
        <f>IF(AF23="","",IF(MONTH(AF23+1)&lt;&gt;MONTH(AF23),"",AF23+1))</f>
        <v/>
      </c>
      <c r="AA24" s="51">
        <f>IF(Z24="","",IF(MONTH(Z24+1)&lt;&gt;MONTH(Z24),"",Z24+1))</f>
        <v/>
      </c>
      <c r="AB24" s="51">
        <f>IF(AA24="","",IF(MONTH(AA24+1)&lt;&gt;MONTH(AA24),"",AA24+1))</f>
        <v/>
      </c>
      <c r="AC24" s="51">
        <f>IF(AB24="","",IF(MONTH(AB24+1)&lt;&gt;MONTH(AB24),"",AB24+1))</f>
        <v/>
      </c>
      <c r="AD24" s="51">
        <f>IF(AC24="","",IF(MONTH(AC24+1)&lt;&gt;MONTH(AC24),"",AC24+1))</f>
        <v/>
      </c>
      <c r="AE24" s="51">
        <f>IF(AD24="","",IF(MONTH(AD24+1)&lt;&gt;MONTH(AD24),"",AD24+1))</f>
        <v/>
      </c>
      <c r="AF24" s="36">
        <f>IF(AE24="","",IF(MONTH(AE24+1)&lt;&gt;MONTH(AE24),"",AE24+1))</f>
        <v/>
      </c>
      <c r="AG24" s="68" t="n"/>
    </row>
    <row r="25" ht="18" customFormat="1" customHeight="1" s="69">
      <c r="A25" s="7" t="n"/>
      <c r="B25" s="36">
        <f>IF(H24="","",IF(MONTH(H24+1)&lt;&gt;MONTH(H24),"",H24+1))</f>
        <v/>
      </c>
      <c r="C25" s="36">
        <f>IF(B25="","",IF(MONTH(B25+1)&lt;&gt;MONTH(B25),"",B25+1))</f>
        <v/>
      </c>
      <c r="D25" s="36">
        <f>IF(C25="","",IF(MONTH(C25+1)&lt;&gt;MONTH(C25),"",C25+1))</f>
        <v/>
      </c>
      <c r="E25" s="36">
        <f>IF(D25="","",IF(MONTH(D25+1)&lt;&gt;MONTH(D25),"",D25+1))</f>
        <v/>
      </c>
      <c r="F25" s="36">
        <f>IF(E25="","",IF(MONTH(E25+1)&lt;&gt;MONTH(E25),"",E25+1))</f>
        <v/>
      </c>
      <c r="G25" s="36">
        <f>IF(F25="","",IF(MONTH(F25+1)&lt;&gt;MONTH(F25),"",F25+1))</f>
        <v/>
      </c>
      <c r="H25" s="36">
        <f>IF(G25="","",IF(MONTH(G25+1)&lt;&gt;MONTH(G25),"",G25+1))</f>
        <v/>
      </c>
      <c r="I25" s="7" t="n"/>
      <c r="J25" s="36">
        <f>IF(P24="","",IF(MONTH(P24+1)&lt;&gt;MONTH(P24),"",P24+1))</f>
        <v/>
      </c>
      <c r="K25" s="36">
        <f>IF(J25="","",IF(MONTH(J25+1)&lt;&gt;MONTH(J25),"",J25+1))</f>
        <v/>
      </c>
      <c r="L25" s="36">
        <f>IF(K25="","",IF(MONTH(K25+1)&lt;&gt;MONTH(K25),"",K25+1))</f>
        <v/>
      </c>
      <c r="M25" s="36">
        <f>IF(L25="","",IF(MONTH(L25+1)&lt;&gt;MONTH(L25),"",L25+1))</f>
        <v/>
      </c>
      <c r="N25" s="36">
        <f>IF(M25="","",IF(MONTH(M25+1)&lt;&gt;MONTH(M25),"",M25+1))</f>
        <v/>
      </c>
      <c r="O25" s="36">
        <f>IF(N25="","",IF(MONTH(N25+1)&lt;&gt;MONTH(N25),"",N25+1))</f>
        <v/>
      </c>
      <c r="P25" s="36">
        <f>IF(O25="","",IF(MONTH(O25+1)&lt;&gt;MONTH(O25),"",O25+1))</f>
        <v/>
      </c>
      <c r="Q25" s="7" t="n">
        <v>11</v>
      </c>
      <c r="R25" s="36">
        <f>IF(X24="","",IF(MONTH(X24+1)&lt;&gt;MONTH(X24),"",X24+1))</f>
        <v/>
      </c>
      <c r="S25" s="51">
        <f>IF(R25="","",IF(MONTH(R25+1)&lt;&gt;MONTH(R25),"",R25+1))</f>
        <v/>
      </c>
      <c r="T25" s="51">
        <f>IF(S25="","",IF(MONTH(S25+1)&lt;&gt;MONTH(S25),"",S25+1))</f>
        <v/>
      </c>
      <c r="U25" s="51">
        <f>IF(T25="","",IF(MONTH(T25+1)&lt;&gt;MONTH(T25),"",T25+1))</f>
        <v/>
      </c>
      <c r="V25" s="51">
        <f>IF(U25="","",IF(MONTH(U25+1)&lt;&gt;MONTH(U25),"",U25+1))</f>
        <v/>
      </c>
      <c r="W25" s="51">
        <f>IF(V25="","",IF(MONTH(V25+1)&lt;&gt;MONTH(V25),"",V25+1))</f>
        <v/>
      </c>
      <c r="X25" s="36">
        <f>IF(W25="","",IF(MONTH(W25+1)&lt;&gt;MONTH(W25),"",W25+1))</f>
        <v/>
      </c>
      <c r="Y25" s="7" t="n">
        <v>7</v>
      </c>
      <c r="Z25" s="36">
        <f>IF(AF24="","",IF(MONTH(AF24+1)&lt;&gt;MONTH(AF24),"",AF24+1))</f>
        <v/>
      </c>
      <c r="AA25" s="51">
        <f>IF(Z25="","",IF(MONTH(Z25+1)&lt;&gt;MONTH(Z25),"",Z25+1))</f>
        <v/>
      </c>
      <c r="AB25" s="51">
        <f>IF(AA25="","",IF(MONTH(AA25+1)&lt;&gt;MONTH(AA25),"",AA25+1))</f>
        <v/>
      </c>
      <c r="AC25" s="51">
        <f>IF(AB25="","",IF(MONTH(AB25+1)&lt;&gt;MONTH(AB25),"",AB25+1))</f>
        <v/>
      </c>
      <c r="AD25" s="51">
        <f>IF(AC25="","",IF(MONTH(AC25+1)&lt;&gt;MONTH(AC25),"",AC25+1))</f>
        <v/>
      </c>
      <c r="AE25" s="51">
        <f>IF(AD25="","",IF(MONTH(AD25+1)&lt;&gt;MONTH(AD25),"",AD25+1))</f>
        <v/>
      </c>
      <c r="AF25" s="36">
        <f>IF(AE25="","",IF(MONTH(AE25+1)&lt;&gt;MONTH(AE25),"",AE25+1))</f>
        <v/>
      </c>
      <c r="AG25" s="68" t="n"/>
    </row>
    <row r="26" ht="18" customFormat="1" customHeight="1" s="69">
      <c r="A26" s="7" t="n"/>
      <c r="B26" s="36">
        <f>IF(H25="","",IF(MONTH(H25+1)&lt;&gt;MONTH(H25),"",H25+1))</f>
        <v/>
      </c>
      <c r="C26" s="36">
        <f>IF(B26="","",IF(MONTH(B26+1)&lt;&gt;MONTH(B26),"",B26+1))</f>
        <v/>
      </c>
      <c r="D26" s="36">
        <f>IF(C26="","",IF(MONTH(C26+1)&lt;&gt;MONTH(C26),"",C26+1))</f>
        <v/>
      </c>
      <c r="E26" s="36">
        <f>IF(D26="","",IF(MONTH(D26+1)&lt;&gt;MONTH(D26),"",D26+1))</f>
        <v/>
      </c>
      <c r="F26" s="36">
        <f>IF(E26="","",IF(MONTH(E26+1)&lt;&gt;MONTH(E26),"",E26+1))</f>
        <v/>
      </c>
      <c r="G26" s="36">
        <f>IF(F26="","",IF(MONTH(F26+1)&lt;&gt;MONTH(F26),"",F26+1))</f>
        <v/>
      </c>
      <c r="H26" s="36">
        <f>IF(G26="","",IF(MONTH(G26+1)&lt;&gt;MONTH(G26),"",G26+1))</f>
        <v/>
      </c>
      <c r="I26" s="7" t="n"/>
      <c r="J26" s="36">
        <f>IF(P25="","",IF(MONTH(P25+1)&lt;&gt;MONTH(P25),"",P25+1))</f>
        <v/>
      </c>
      <c r="K26" s="36">
        <f>IF(J26="","",IF(MONTH(J26+1)&lt;&gt;MONTH(J26),"",J26+1))</f>
        <v/>
      </c>
      <c r="L26" s="36">
        <f>IF(K26="","",IF(MONTH(K26+1)&lt;&gt;MONTH(K26),"",K26+1))</f>
        <v/>
      </c>
      <c r="M26" s="36">
        <f>IF(L26="","",IF(MONTH(L26+1)&lt;&gt;MONTH(L26),"",L26+1))</f>
        <v/>
      </c>
      <c r="N26" s="36">
        <f>IF(M26="","",IF(MONTH(M26+1)&lt;&gt;MONTH(M26),"",M26+1))</f>
        <v/>
      </c>
      <c r="O26" s="36">
        <f>IF(N26="","",IF(MONTH(N26+1)&lt;&gt;MONTH(N26),"",N26+1))</f>
        <v/>
      </c>
      <c r="P26" s="36">
        <f>IF(O26="","",IF(MONTH(O26+1)&lt;&gt;MONTH(O26),"",O26+1))</f>
        <v/>
      </c>
      <c r="Q26" s="7" t="n">
        <v>10</v>
      </c>
      <c r="R26" s="36">
        <f>IF(X25="","",IF(MONTH(X25+1)&lt;&gt;MONTH(X25),"",X25+1))</f>
        <v/>
      </c>
      <c r="S26" s="51">
        <f>IF(R26="","",IF(MONTH(R26+1)&lt;&gt;MONTH(R26),"",R26+1))</f>
        <v/>
      </c>
      <c r="T26" s="51">
        <f>IF(S26="","",IF(MONTH(S26+1)&lt;&gt;MONTH(S26),"",S26+1))</f>
        <v/>
      </c>
      <c r="U26" s="51">
        <f>IF(T26="","",IF(MONTH(T26+1)&lt;&gt;MONTH(T26),"",T26+1))</f>
        <v/>
      </c>
      <c r="V26" s="51">
        <f>IF(U26="","",IF(MONTH(U26+1)&lt;&gt;MONTH(U26),"",U26+1))</f>
        <v/>
      </c>
      <c r="W26" s="51">
        <f>IF(V26="","",IF(MONTH(V26+1)&lt;&gt;MONTH(V26),"",V26+1))</f>
        <v/>
      </c>
      <c r="X26" s="36">
        <f>IF(W26="","",IF(MONTH(W26+1)&lt;&gt;MONTH(W26),"",W26+1))</f>
        <v/>
      </c>
      <c r="Y26" s="7" t="n">
        <v>6</v>
      </c>
      <c r="Z26" s="36">
        <f>IF(AF25="","",IF(MONTH(AF25+1)&lt;&gt;MONTH(AF25),"",AF25+1))</f>
        <v/>
      </c>
      <c r="AA26" s="51">
        <f>IF(Z26="","",IF(MONTH(Z26+1)&lt;&gt;MONTH(Z26),"",Z26+1))</f>
        <v/>
      </c>
      <c r="AB26" s="51">
        <f>IF(AA26="","",IF(MONTH(AA26+1)&lt;&gt;MONTH(AA26),"",AA26+1))</f>
        <v/>
      </c>
      <c r="AC26" s="51">
        <f>IF(AB26="","",IF(MONTH(AB26+1)&lt;&gt;MONTH(AB26),"",AB26+1))</f>
        <v/>
      </c>
      <c r="AD26" s="51">
        <f>IF(AC26="","",IF(MONTH(AC26+1)&lt;&gt;MONTH(AC26),"",AC26+1))</f>
        <v/>
      </c>
      <c r="AE26" s="51">
        <f>IF(AD26="","",IF(MONTH(AD26+1)&lt;&gt;MONTH(AD26),"",AD26+1))</f>
        <v/>
      </c>
      <c r="AF26" s="36">
        <f>IF(AE26="","",IF(MONTH(AE26+1)&lt;&gt;MONTH(AE26),"",AE26+1))</f>
        <v/>
      </c>
      <c r="AG26" s="68" t="n"/>
    </row>
    <row r="27" ht="18" customFormat="1" customHeight="1" s="69">
      <c r="A27" s="7" t="n"/>
      <c r="B27" s="36">
        <f>IF(H26="","",IF(MONTH(H26+1)&lt;&gt;MONTH(H26),"",H26+1))</f>
        <v/>
      </c>
      <c r="C27" s="36">
        <f>IF(B27="","",IF(MONTH(B27+1)&lt;&gt;MONTH(B27),"",B27+1))</f>
        <v/>
      </c>
      <c r="D27" s="36">
        <f>IF(C27="","",IF(MONTH(C27+1)&lt;&gt;MONTH(C27),"",C27+1))</f>
        <v/>
      </c>
      <c r="E27" s="36">
        <f>IF(D27="","",IF(MONTH(D27+1)&lt;&gt;MONTH(D27),"",D27+1))</f>
        <v/>
      </c>
      <c r="F27" s="36">
        <f>IF(E27="","",IF(MONTH(E27+1)&lt;&gt;MONTH(E27),"",E27+1))</f>
        <v/>
      </c>
      <c r="G27" s="36">
        <f>IF(F27="","",IF(MONTH(F27+1)&lt;&gt;MONTH(F27),"",F27+1))</f>
        <v/>
      </c>
      <c r="H27" s="36">
        <f>IF(G27="","",IF(MONTH(G27+1)&lt;&gt;MONTH(G27),"",G27+1))</f>
        <v/>
      </c>
      <c r="I27" s="7" t="n"/>
      <c r="J27" s="36">
        <f>IF(P26="","",IF(MONTH(P26+1)&lt;&gt;MONTH(P26),"",P26+1))</f>
        <v/>
      </c>
      <c r="K27" s="36">
        <f>IF(J27="","",IF(MONTH(J27+1)&lt;&gt;MONTH(J27),"",J27+1))</f>
        <v/>
      </c>
      <c r="L27" s="36">
        <f>IF(K27="","",IF(MONTH(K27+1)&lt;&gt;MONTH(K27),"",K27+1))</f>
        <v/>
      </c>
      <c r="M27" s="36">
        <f>IF(L27="","",IF(MONTH(L27+1)&lt;&gt;MONTH(L27),"",L27+1))</f>
        <v/>
      </c>
      <c r="N27" s="36">
        <f>IF(M27="","",IF(MONTH(M27+1)&lt;&gt;MONTH(M27),"",M27+1))</f>
        <v/>
      </c>
      <c r="O27" s="36">
        <f>IF(N27="","",IF(MONTH(N27+1)&lt;&gt;MONTH(N27),"",N27+1))</f>
        <v/>
      </c>
      <c r="P27" s="36">
        <f>IF(O27="","",IF(MONTH(O27+1)&lt;&gt;MONTH(O27),"",O27+1))</f>
        <v/>
      </c>
      <c r="Q27" s="7" t="n"/>
      <c r="R27" s="36">
        <f>IF(X26="","",IF(MONTH(X26+1)&lt;&gt;MONTH(X26),"",X26+1))</f>
        <v/>
      </c>
      <c r="S27" s="36">
        <f>IF(R27="","",IF(MONTH(R27+1)&lt;&gt;MONTH(R27),"",R27+1))</f>
        <v/>
      </c>
      <c r="T27" s="36">
        <f>IF(S27="","",IF(MONTH(S27+1)&lt;&gt;MONTH(S27),"",S27+1))</f>
        <v/>
      </c>
      <c r="U27" s="36">
        <f>IF(T27="","",IF(MONTH(T27+1)&lt;&gt;MONTH(T27),"",T27+1))</f>
        <v/>
      </c>
      <c r="V27" s="36">
        <f>IF(U27="","",IF(MONTH(U27+1)&lt;&gt;MONTH(U27),"",U27+1))</f>
        <v/>
      </c>
      <c r="W27" s="36">
        <f>IF(V27="","",IF(MONTH(V27+1)&lt;&gt;MONTH(V27),"",V27+1))</f>
        <v/>
      </c>
      <c r="X27" s="36">
        <f>IF(W27="","",IF(MONTH(W27+1)&lt;&gt;MONTH(W27),"",W27+1))</f>
        <v/>
      </c>
      <c r="Y27" s="7" t="n">
        <v>5</v>
      </c>
      <c r="Z27" s="36">
        <f>IF(AF26="","",IF(MONTH(AF26+1)&lt;&gt;MONTH(AF26),"",AF26+1))</f>
        <v/>
      </c>
      <c r="AA27" s="51">
        <f>IF(Z27="","",IF(MONTH(Z27+1)&lt;&gt;MONTH(Z27),"",Z27+1))</f>
        <v/>
      </c>
      <c r="AB27" s="36">
        <f>IF(AA27="","",IF(MONTH(AA27+1)&lt;&gt;MONTH(AA27),"",AA27+1))</f>
        <v/>
      </c>
      <c r="AC27" s="36">
        <f>IF(AB27="","",IF(MONTH(AB27+1)&lt;&gt;MONTH(AB27),"",AB27+1))</f>
        <v/>
      </c>
      <c r="AD27" s="36">
        <f>IF(AC27="","",IF(MONTH(AC27+1)&lt;&gt;MONTH(AC27),"",AC27+1))</f>
        <v/>
      </c>
      <c r="AE27" s="36">
        <f>IF(AD27="","",IF(MONTH(AD27+1)&lt;&gt;MONTH(AD27),"",AD27+1))</f>
        <v/>
      </c>
      <c r="AF27" s="36">
        <f>IF(AE27="","",IF(MONTH(AE27+1)&lt;&gt;MONTH(AE27),"",AE27+1))</f>
        <v/>
      </c>
      <c r="AG27" s="68" t="n"/>
    </row>
    <row r="28" ht="18" customHeight="1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</row>
    <row r="29" ht="22.5" customFormat="1" customHeight="1" s="66">
      <c r="A29" s="71" t="n"/>
      <c r="B29" s="65">
        <f>DATE(YEAR(Z20+42),MONTH(Z20+42),1)</f>
        <v/>
      </c>
      <c r="G29" s="63">
        <f>D3</f>
        <v/>
      </c>
      <c r="H29" s="64" t="n"/>
      <c r="I29" s="7" t="n"/>
      <c r="J29" s="65">
        <f>DATE(YEAR(B29+42),MONTH(B29+42),1)</f>
        <v/>
      </c>
      <c r="O29" s="63">
        <f>D3</f>
        <v/>
      </c>
      <c r="P29" s="64" t="n"/>
      <c r="Q29" s="7" t="n"/>
      <c r="R29" s="65">
        <f>DATE(YEAR(J29+42),MONTH(J29+42),1)</f>
        <v/>
      </c>
      <c r="W29" s="63">
        <f>D3</f>
        <v/>
      </c>
      <c r="X29" s="64" t="n"/>
      <c r="Y29" s="7" t="n"/>
      <c r="Z29" s="65">
        <f>DATE(YEAR(R29+42),MONTH(R29+42),1)</f>
        <v/>
      </c>
      <c r="AE29" s="63">
        <f>D3</f>
        <v/>
      </c>
      <c r="AF29" s="64" t="n"/>
      <c r="AG29" s="10" t="n"/>
      <c r="AI29" s="67" t="n"/>
    </row>
    <row r="30" ht="18" customFormat="1" customHeight="1" s="68">
      <c r="A30" s="7" t="n"/>
      <c r="B30" s="38">
        <f>CHOOSE(1+MOD($R$3+1-2,7),"Su","M","Tu","W","Th","F","Sa")</f>
        <v/>
      </c>
      <c r="C30" s="39">
        <f>CHOOSE(1+MOD($R$3+2-2,7),"Su","M","Tu","W","Th","F","Sa")</f>
        <v/>
      </c>
      <c r="D30" s="39">
        <f>CHOOSE(1+MOD($R$3+3-2,7),"Su","M","Tu","W","Th","F","Sa")</f>
        <v/>
      </c>
      <c r="E30" s="39">
        <f>CHOOSE(1+MOD($R$3+4-2,7),"Su","M","Tu","W","Th","F","Sa")</f>
        <v/>
      </c>
      <c r="F30" s="39">
        <f>CHOOSE(1+MOD($R$3+5-2,7),"Su","M","Tu","W","Th","F","Sa")</f>
        <v/>
      </c>
      <c r="G30" s="39">
        <f>CHOOSE(1+MOD($R$3+6-2,7),"Su","M","Tu","W","Th","F","Sa")</f>
        <v/>
      </c>
      <c r="H30" s="40">
        <f>CHOOSE(1+MOD($R$3+7-2,7),"Su","M","Tu","W","Th","F","Sa")</f>
        <v/>
      </c>
      <c r="I30" s="7" t="n"/>
      <c r="J30" s="38">
        <f>CHOOSE(1+MOD($R$3+1-2,7),"Su","M","Tu","W","Th","F","Sa")</f>
        <v/>
      </c>
      <c r="K30" s="39">
        <f>CHOOSE(1+MOD($R$3+2-2,7),"Su","M","Tu","W","Th","F","Sa")</f>
        <v/>
      </c>
      <c r="L30" s="39">
        <f>CHOOSE(1+MOD($R$3+3-2,7),"Su","M","Tu","W","Th","F","Sa")</f>
        <v/>
      </c>
      <c r="M30" s="39">
        <f>CHOOSE(1+MOD($R$3+4-2,7),"Su","M","Tu","W","Th","F","Sa")</f>
        <v/>
      </c>
      <c r="N30" s="39">
        <f>CHOOSE(1+MOD($R$3+5-2,7),"Su","M","Tu","W","Th","F","Sa")</f>
        <v/>
      </c>
      <c r="O30" s="39">
        <f>CHOOSE(1+MOD($R$3+6-2,7),"Su","M","Tu","W","Th","F","Sa")</f>
        <v/>
      </c>
      <c r="P30" s="40">
        <f>CHOOSE(1+MOD($R$3+7-2,7),"Su","M","Tu","W","Th","F","Sa")</f>
        <v/>
      </c>
      <c r="Q30" s="7" t="n"/>
      <c r="R30" s="38">
        <f>CHOOSE(1+MOD($R$3+1-2,7),"Su","M","Tu","W","Th","F","Sa")</f>
        <v/>
      </c>
      <c r="S30" s="39">
        <f>CHOOSE(1+MOD($R$3+2-2,7),"Su","M","Tu","W","Th","F","Sa")</f>
        <v/>
      </c>
      <c r="T30" s="39">
        <f>CHOOSE(1+MOD($R$3+3-2,7),"Su","M","Tu","W","Th","F","Sa")</f>
        <v/>
      </c>
      <c r="U30" s="39">
        <f>CHOOSE(1+MOD($R$3+4-2,7),"Su","M","Tu","W","Th","F","Sa")</f>
        <v/>
      </c>
      <c r="V30" s="39">
        <f>CHOOSE(1+MOD($R$3+5-2,7),"Su","M","Tu","W","Th","F","Sa")</f>
        <v/>
      </c>
      <c r="W30" s="39">
        <f>CHOOSE(1+MOD($R$3+6-2,7),"Su","M","Tu","W","Th","F","Sa")</f>
        <v/>
      </c>
      <c r="X30" s="40">
        <f>CHOOSE(1+MOD($R$3+7-2,7),"Su","M","Tu","W","Th","F","Sa")</f>
        <v/>
      </c>
      <c r="Y30" s="7" t="n"/>
      <c r="Z30" s="38">
        <f>CHOOSE(1+MOD($R$3+1-2,7),"Su","M","Tu","W","Th","F","Sa")</f>
        <v/>
      </c>
      <c r="AA30" s="39">
        <f>CHOOSE(1+MOD($R$3+2-2,7),"Su","M","Tu","W","Th","F","Sa")</f>
        <v/>
      </c>
      <c r="AB30" s="39">
        <f>CHOOSE(1+MOD($R$3+3-2,7),"Su","M","Tu","W","Th","F","Sa")</f>
        <v/>
      </c>
      <c r="AC30" s="39">
        <f>CHOOSE(1+MOD($R$3+4-2,7),"Su","M","Tu","W","Th","F","Sa")</f>
        <v/>
      </c>
      <c r="AD30" s="39">
        <f>CHOOSE(1+MOD($R$3+5-2,7),"Su","M","Tu","W","Th","F","Sa")</f>
        <v/>
      </c>
      <c r="AE30" s="39">
        <f>CHOOSE(1+MOD($R$3+6-2,7),"Su","M","Tu","W","Th","F","Sa")</f>
        <v/>
      </c>
      <c r="AF30" s="40">
        <f>CHOOSE(1+MOD($R$3+7-2,7),"Su","M","Tu","W","Th","F","Sa")</f>
        <v/>
      </c>
    </row>
    <row r="31" ht="18" customFormat="1" customHeight="1" s="69">
      <c r="A31" s="7" t="n"/>
      <c r="B31" s="36">
        <f>IF(WEEKDAY(B29,1)=$R$3,B29,"")</f>
        <v/>
      </c>
      <c r="C31" s="36">
        <f>IF(B31="",IF(WEEKDAY(B29,1)=MOD($R$3,7)+1,B29,""),B31+1)</f>
        <v/>
      </c>
      <c r="D31" s="51">
        <f>IF(C31="",IF(WEEKDAY(B29,1)=MOD($R$3+1,7)+1,B29,""),C31+1)</f>
        <v/>
      </c>
      <c r="E31" s="51">
        <f>IF(D31="",IF(WEEKDAY(B29,1)=MOD($R$3+2,7)+1,B29,""),D31+1)</f>
        <v/>
      </c>
      <c r="F31" s="51">
        <f>IF(E31="",IF(WEEKDAY(B29,1)=MOD($R$3+3,7)+1,B29,""),E31+1)</f>
        <v/>
      </c>
      <c r="G31" s="51">
        <f>IF(F31="",IF(WEEKDAY(B29,1)=MOD($R$3+4,7)+1,B29,""),F31+1)</f>
        <v/>
      </c>
      <c r="H31" s="36">
        <f>IF(G31="",IF(WEEKDAY(B29,1)=MOD($R$3+5,7)+1,B29,""),G31+1)</f>
        <v/>
      </c>
      <c r="I31" s="7" t="n"/>
      <c r="J31" s="36">
        <f>IF(WEEKDAY(J29,1)=$R$3,J29,"")</f>
        <v/>
      </c>
      <c r="K31" s="36">
        <f>IF(J31="",IF(WEEKDAY(J29,1)=MOD($R$3,7)+1,J29,""),J31+1)</f>
        <v/>
      </c>
      <c r="L31" s="36">
        <f>IF(K31="",IF(WEEKDAY(J29,1)=MOD($R$3+1,7)+1,J29,""),K31+1)</f>
        <v/>
      </c>
      <c r="M31" s="36">
        <f>IF(L31="",IF(WEEKDAY(J29,1)=MOD($R$3+2,7)+1,J29,""),L31+1)</f>
        <v/>
      </c>
      <c r="N31" s="51">
        <f>IF(M31="",IF(WEEKDAY(J29,1)=MOD($R$3+3,7)+1,J29,""),M31+1)</f>
        <v/>
      </c>
      <c r="O31" s="51">
        <f>IF(N31="",IF(WEEKDAY(J29,1)=MOD($R$3+4,7)+1,J29,""),N31+1)</f>
        <v/>
      </c>
      <c r="P31" s="36">
        <f>IF(O31="",IF(WEEKDAY(J29,1)=MOD($R$3+5,7)+1,J29,""),O31+1)</f>
        <v/>
      </c>
      <c r="Q31" s="7" t="n">
        <v>5</v>
      </c>
      <c r="R31" s="36">
        <f>IF(WEEKDAY(R29,1)=$R$3,R29,"")</f>
        <v/>
      </c>
      <c r="S31" s="41">
        <f>IF(R31="",IF(WEEKDAY(R29,1)=MOD($R$3,7)+1,R29,""),R31+1)</f>
        <v/>
      </c>
      <c r="T31" s="41">
        <f>IF(S31="",IF(WEEKDAY(R29,1)=MOD($R$3+1,7)+1,R29,""),S31+1)</f>
        <v/>
      </c>
      <c r="U31" s="41">
        <f>IF(T31="",IF(WEEKDAY(R29,1)=MOD($R$3+2,7)+1,R29,""),T31+1)</f>
        <v/>
      </c>
      <c r="V31" s="41">
        <f>IF(U31="",IF(WEEKDAY(R29,1)=MOD($R$3+3,7)+1,R29,""),U31+1)</f>
        <v/>
      </c>
      <c r="W31" s="41">
        <f>IF(V31="",IF(WEEKDAY(R29,1)=MOD($R$3+4,7)+1,R29,""),V31+1)</f>
        <v/>
      </c>
      <c r="X31" s="36">
        <f>IF(W31="",IF(WEEKDAY(R29,1)=MOD($R$3+5,7)+1,R29,""),W31+1)</f>
        <v/>
      </c>
      <c r="Y31" s="7" t="n"/>
      <c r="Z31" s="36">
        <f>IF(WEEKDAY(Z29,1)=$R$3,Z29,"")</f>
        <v/>
      </c>
      <c r="AA31" s="36">
        <f>IF(Z31="",IF(WEEKDAY(Z29,1)=MOD($R$3,7)+1,Z29,""),Z31+1)</f>
        <v/>
      </c>
      <c r="AB31" s="84">
        <f>IF(AA31="",IF(WEEKDAY(Z29,1)=MOD($R$3+1,7)+1,Z29,""),AA31+1)</f>
        <v/>
      </c>
      <c r="AC31" s="58">
        <f>IF(AB31="",IF(WEEKDAY(Z29,1)=MOD($R$3+2,7)+1,Z29,""),AB31+1)</f>
        <v/>
      </c>
      <c r="AD31" s="58">
        <f>IF(AC31="",IF(WEEKDAY(Z29,1)=MOD($R$3+3,7)+1,Z29,""),AC31+1)</f>
        <v/>
      </c>
      <c r="AE31" s="58">
        <f>IF(AD31="",IF(WEEKDAY(Z29,1)=MOD($R$3+4,7)+1,Z29,""),AD31+1)</f>
        <v/>
      </c>
      <c r="AF31" s="36">
        <f>IF(AE31="",IF(WEEKDAY(Z29,1)=MOD($R$3+5,7)+1,Z29,""),AE31+1)</f>
        <v/>
      </c>
      <c r="AG31" s="68" t="n"/>
    </row>
    <row r="32" ht="18" customFormat="1" customHeight="1" s="69">
      <c r="A32" s="7" t="n">
        <v>4</v>
      </c>
      <c r="B32" s="36">
        <f>IF(H31="","",IF(MONTH(H31+1)&lt;&gt;MONTH(H31),"",H31+1))</f>
        <v/>
      </c>
      <c r="C32" s="37">
        <f>IF(B32="","",IF(MONTH(B32+1)&lt;&gt;MONTH(B32),"",B32+1))</f>
        <v/>
      </c>
      <c r="D32" s="51">
        <f>IF(C32="","",IF(MONTH(C32+1)&lt;&gt;MONTH(C32),"",C32+1))</f>
        <v/>
      </c>
      <c r="E32" s="51">
        <f>IF(D32="","",IF(MONTH(D32+1)&lt;&gt;MONTH(D32),"",D32+1))</f>
        <v/>
      </c>
      <c r="F32" s="51">
        <f>IF(E32="","",IF(MONTH(E32+1)&lt;&gt;MONTH(E32),"",E32+1))</f>
        <v/>
      </c>
      <c r="G32" s="51">
        <f>IF(F32="","",IF(MONTH(F32+1)&lt;&gt;MONTH(F32),"",F32+1))</f>
        <v/>
      </c>
      <c r="H32" s="36">
        <f>IF(G32="","",IF(MONTH(G32+1)&lt;&gt;MONTH(G32),"",G32+1))</f>
        <v/>
      </c>
      <c r="I32" s="7" t="n">
        <v>1</v>
      </c>
      <c r="J32" s="36">
        <f>IF(P31="","",IF(MONTH(P31+1)&lt;&gt;MONTH(P31),"",P31+1))</f>
        <v/>
      </c>
      <c r="K32" s="62">
        <f>IF(J32="","",IF(MONTH(J32+1)&lt;&gt;MONTH(J32),"",J32+1))</f>
        <v/>
      </c>
      <c r="L32" s="41">
        <f>IF(K32="","",IF(MONTH(K32+1)&lt;&gt;MONTH(K32),"",K32+1))</f>
        <v/>
      </c>
      <c r="M32" s="41">
        <f>IF(L32="","",IF(MONTH(L32+1)&lt;&gt;MONTH(L32),"",L32+1))</f>
        <v/>
      </c>
      <c r="N32" s="41">
        <f>IF(M32="","",IF(MONTH(M32+1)&lt;&gt;MONTH(M32),"",M32+1))</f>
        <v/>
      </c>
      <c r="O32" s="41">
        <f>IF(N32="","",IF(MONTH(N32+1)&lt;&gt;MONTH(N32),"",N32+1))</f>
        <v/>
      </c>
      <c r="P32" s="36">
        <f>IF(O32="","",IF(MONTH(O32+1)&lt;&gt;MONTH(O32),"",O32+1))</f>
        <v/>
      </c>
      <c r="Q32" s="7" t="n">
        <v>6</v>
      </c>
      <c r="R32" s="36">
        <f>IF(X31="","",IF(MONTH(X31+1)&lt;&gt;MONTH(X31),"",X31+1))</f>
        <v/>
      </c>
      <c r="S32" s="41">
        <f>IF(R32="","",IF(MONTH(R32+1)&lt;&gt;MONTH(R32),"",R32+1))</f>
        <v/>
      </c>
      <c r="T32" s="41">
        <f>IF(S32="","",IF(MONTH(S32+1)&lt;&gt;MONTH(S32),"",S32+1))</f>
        <v/>
      </c>
      <c r="U32" s="41">
        <f>IF(T32="","",IF(MONTH(T32+1)&lt;&gt;MONTH(T32),"",T32+1))</f>
        <v/>
      </c>
      <c r="V32" s="41">
        <f>IF(U32="","",IF(MONTH(U32+1)&lt;&gt;MONTH(U32),"",U32+1))</f>
        <v/>
      </c>
      <c r="W32" s="41">
        <f>IF(V32="","",IF(MONTH(V32+1)&lt;&gt;MONTH(V32),"",V32+1))</f>
        <v/>
      </c>
      <c r="X32" s="36">
        <f>IF(W32="","",IF(MONTH(W32+1)&lt;&gt;MONTH(W32),"",W32+1))</f>
        <v/>
      </c>
      <c r="Y32" s="7" t="n">
        <v>1</v>
      </c>
      <c r="Z32" s="36">
        <f>IF(AF31="","",IF(MONTH(AF31+1)&lt;&gt;MONTH(AF31),"",AF31+1))</f>
        <v/>
      </c>
      <c r="AA32" s="61">
        <f>IF(Z32="","",IF(MONTH(Z32+1)&lt;&gt;MONTH(Z32),"",Z32+1))</f>
        <v/>
      </c>
      <c r="AB32" s="58">
        <f>IF(AA32="","",IF(MONTH(AA32+1)&lt;&gt;MONTH(AA32),"",AA32+1))</f>
        <v/>
      </c>
      <c r="AC32" s="58">
        <f>IF(AB32="","",IF(MONTH(AB32+1)&lt;&gt;MONTH(AB32),"",AB32+1))</f>
        <v/>
      </c>
      <c r="AD32" s="58">
        <f>IF(AC32="","",IF(MONTH(AC32+1)&lt;&gt;MONTH(AC32),"",AC32+1))</f>
        <v/>
      </c>
      <c r="AE32" s="58">
        <f>IF(AD32="","",IF(MONTH(AD32+1)&lt;&gt;MONTH(AD32),"",AD32+1))</f>
        <v/>
      </c>
      <c r="AF32" s="36">
        <f>IF(AE32="","",IF(MONTH(AE32+1)&lt;&gt;MONTH(AE32),"",AE32+1))</f>
        <v/>
      </c>
      <c r="AG32" s="68" t="n"/>
    </row>
    <row r="33" ht="18" customFormat="1" customHeight="1" s="69">
      <c r="A33" s="7" t="n">
        <v>3</v>
      </c>
      <c r="B33" s="36">
        <f>IF(H32="","",IF(MONTH(H32+1)&lt;&gt;MONTH(H32),"",H32+1))</f>
        <v/>
      </c>
      <c r="C33" s="51">
        <f>IF(B33="","",IF(MONTH(B33+1)&lt;&gt;MONTH(B33),"",B33+1))</f>
        <v/>
      </c>
      <c r="D33" s="51">
        <f>IF(C33="","",IF(MONTH(C33+1)&lt;&gt;MONTH(C33),"",C33+1))</f>
        <v/>
      </c>
      <c r="E33" s="51">
        <f>IF(D33="","",IF(MONTH(D33+1)&lt;&gt;MONTH(D33),"",D33+1))</f>
        <v/>
      </c>
      <c r="F33" s="51">
        <f>IF(E33="","",IF(MONTH(E33+1)&lt;&gt;MONTH(E33),"",E33+1))</f>
        <v/>
      </c>
      <c r="G33" s="51">
        <f>IF(F33="","",IF(MONTH(F33+1)&lt;&gt;MONTH(F33),"",F33+1))</f>
        <v/>
      </c>
      <c r="H33" s="36">
        <f>IF(G33="","",IF(MONTH(G33+1)&lt;&gt;MONTH(G33),"",G33+1))</f>
        <v/>
      </c>
      <c r="I33" s="7" t="n">
        <v>2</v>
      </c>
      <c r="J33" s="36">
        <f>IF(P32="","",IF(MONTH(P32+1)&lt;&gt;MONTH(P32),"",P32+1))</f>
        <v/>
      </c>
      <c r="K33" s="41">
        <f>IF(J33="","",IF(MONTH(J33+1)&lt;&gt;MONTH(J33),"",J33+1))</f>
        <v/>
      </c>
      <c r="L33" s="41">
        <f>IF(K33="","",IF(MONTH(K33+1)&lt;&gt;MONTH(K33),"",K33+1))</f>
        <v/>
      </c>
      <c r="M33" s="41">
        <f>IF(L33="","",IF(MONTH(L33+1)&lt;&gt;MONTH(L33),"",L33+1))</f>
        <v/>
      </c>
      <c r="N33" s="41">
        <f>IF(M33="","",IF(MONTH(M33+1)&lt;&gt;MONTH(M33),"",M33+1))</f>
        <v/>
      </c>
      <c r="O33" s="41">
        <f>IF(N33="","",IF(MONTH(N33+1)&lt;&gt;MONTH(N33),"",N33+1))</f>
        <v/>
      </c>
      <c r="P33" s="36">
        <f>IF(O33="","",IF(MONTH(O33+1)&lt;&gt;MONTH(O33),"",O33+1))</f>
        <v/>
      </c>
      <c r="Q33" s="7" t="n">
        <v>7</v>
      </c>
      <c r="R33" s="36">
        <f>IF(X32="","",IF(MONTH(X32+1)&lt;&gt;MONTH(X32),"",X32+1))</f>
        <v/>
      </c>
      <c r="S33" s="41">
        <f>IF(R33="","",IF(MONTH(R33+1)&lt;&gt;MONTH(R33),"",R33+1))</f>
        <v/>
      </c>
      <c r="T33" s="41">
        <f>IF(S33="","",IF(MONTH(S33+1)&lt;&gt;MONTH(S33),"",S33+1))</f>
        <v/>
      </c>
      <c r="U33" s="41">
        <f>IF(T33="","",IF(MONTH(T33+1)&lt;&gt;MONTH(T33),"",T33+1))</f>
        <v/>
      </c>
      <c r="V33" s="41">
        <f>IF(U33="","",IF(MONTH(U33+1)&lt;&gt;MONTH(U33),"",U33+1))</f>
        <v/>
      </c>
      <c r="W33" s="41">
        <f>IF(V33="","",IF(MONTH(V33+1)&lt;&gt;MONTH(V33),"",V33+1))</f>
        <v/>
      </c>
      <c r="X33" s="36">
        <f>IF(W33="","",IF(MONTH(W33+1)&lt;&gt;MONTH(W33),"",W33+1))</f>
        <v/>
      </c>
      <c r="Y33" s="7" t="n">
        <v>2</v>
      </c>
      <c r="Z33" s="36">
        <f>IF(AF32="","",IF(MONTH(AF32+1)&lt;&gt;MONTH(AF32),"",AF32+1))</f>
        <v/>
      </c>
      <c r="AA33" s="58">
        <f>IF(Z33="","",IF(MONTH(Z33+1)&lt;&gt;MONTH(Z33),"",Z33+1))</f>
        <v/>
      </c>
      <c r="AB33" s="58">
        <f>IF(AA33="","",IF(MONTH(AA33+1)&lt;&gt;MONTH(AA33),"",AA33+1))</f>
        <v/>
      </c>
      <c r="AC33" s="58">
        <f>IF(AB33="","",IF(MONTH(AB33+1)&lt;&gt;MONTH(AB33),"",AB33+1))</f>
        <v/>
      </c>
      <c r="AD33" s="58">
        <f>IF(AC33="","",IF(MONTH(AC33+1)&lt;&gt;MONTH(AC33),"",AC33+1))</f>
        <v/>
      </c>
      <c r="AE33" s="58">
        <f>IF(AD33="","",IF(MONTH(AD33+1)&lt;&gt;MONTH(AD33),"",AD33+1))</f>
        <v/>
      </c>
      <c r="AF33" s="36">
        <f>IF(AE33="","",IF(MONTH(AE33+1)&lt;&gt;MONTH(AE33),"",AE33+1))</f>
        <v/>
      </c>
      <c r="AG33" s="68" t="n"/>
    </row>
    <row r="34" ht="18" customFormat="1" customHeight="1" s="69">
      <c r="A34" s="7" t="n">
        <v>2</v>
      </c>
      <c r="B34" s="36">
        <f>IF(H33="","",IF(MONTH(H33+1)&lt;&gt;MONTH(H33),"",H33+1))</f>
        <v/>
      </c>
      <c r="C34" s="51">
        <f>IF(B34="","",IF(MONTH(B34+1)&lt;&gt;MONTH(B34),"",B34+1))</f>
        <v/>
      </c>
      <c r="D34" s="51">
        <f>IF(C34="","",IF(MONTH(C34+1)&lt;&gt;MONTH(C34),"",C34+1))</f>
        <v/>
      </c>
      <c r="E34" s="51">
        <f>IF(D34="","",IF(MONTH(D34+1)&lt;&gt;MONTH(D34),"",D34+1))</f>
        <v/>
      </c>
      <c r="F34" s="51">
        <f>IF(E34="","",IF(MONTH(E34+1)&lt;&gt;MONTH(E34),"",E34+1))</f>
        <v/>
      </c>
      <c r="G34" s="51">
        <f>IF(F34="","",IF(MONTH(F34+1)&lt;&gt;MONTH(F34),"",F34+1))</f>
        <v/>
      </c>
      <c r="H34" s="36">
        <f>IF(G34="","",IF(MONTH(G34+1)&lt;&gt;MONTH(G34),"",G34+1))</f>
        <v/>
      </c>
      <c r="I34" s="7" t="n">
        <v>3</v>
      </c>
      <c r="J34" s="36">
        <f>IF(P33="","",IF(MONTH(P33+1)&lt;&gt;MONTH(P33),"",P33+1))</f>
        <v/>
      </c>
      <c r="K34" s="41">
        <f>IF(J34="","",IF(MONTH(J34+1)&lt;&gt;MONTH(J34),"",J34+1))</f>
        <v/>
      </c>
      <c r="L34" s="41">
        <f>IF(K34="","",IF(MONTH(K34+1)&lt;&gt;MONTH(K34),"",K34+1))</f>
        <v/>
      </c>
      <c r="M34" s="41">
        <f>IF(L34="","",IF(MONTH(L34+1)&lt;&gt;MONTH(L34),"",L34+1))</f>
        <v/>
      </c>
      <c r="N34" s="41">
        <f>IF(M34="","",IF(MONTH(M34+1)&lt;&gt;MONTH(M34),"",M34+1))</f>
        <v/>
      </c>
      <c r="O34" s="41">
        <f>IF(N34="","",IF(MONTH(N34+1)&lt;&gt;MONTH(N34),"",N34+1))</f>
        <v/>
      </c>
      <c r="P34" s="36">
        <f>IF(O34="","",IF(MONTH(O34+1)&lt;&gt;MONTH(O34),"",O34+1))</f>
        <v/>
      </c>
      <c r="Q34" s="7" t="n">
        <v>8</v>
      </c>
      <c r="R34" s="36">
        <f>IF(X33="","",IF(MONTH(X33+1)&lt;&gt;MONTH(X33),"",X33+1))</f>
        <v/>
      </c>
      <c r="S34" s="41">
        <f>IF(R34="","",IF(MONTH(R34+1)&lt;&gt;MONTH(R34),"",R34+1))</f>
        <v/>
      </c>
      <c r="T34" s="41">
        <f>IF(S34="","",IF(MONTH(S34+1)&lt;&gt;MONTH(S34),"",S34+1))</f>
        <v/>
      </c>
      <c r="U34" s="41">
        <f>IF(T34="","",IF(MONTH(T34+1)&lt;&gt;MONTH(T34),"",T34+1))</f>
        <v/>
      </c>
      <c r="V34" s="37">
        <f>IF(U34="","",IF(MONTH(U34+1)&lt;&gt;MONTH(U34),"",U34+1))</f>
        <v/>
      </c>
      <c r="W34" s="37">
        <f>IF(V34="","",IF(MONTH(V34+1)&lt;&gt;MONTH(V34),"",V34+1))</f>
        <v/>
      </c>
      <c r="X34" s="36">
        <f>IF(W34="","",IF(MONTH(W34+1)&lt;&gt;MONTH(W34),"",W34+1))</f>
        <v/>
      </c>
      <c r="Y34" s="7" t="n">
        <v>3</v>
      </c>
      <c r="Z34" s="36">
        <f>IF(AF33="","",IF(MONTH(AF33+1)&lt;&gt;MONTH(AF33),"",AF33+1))</f>
        <v/>
      </c>
      <c r="AA34" s="58">
        <f>IF(Z34="","",IF(MONTH(Z34+1)&lt;&gt;MONTH(Z34),"",Z34+1))</f>
        <v/>
      </c>
      <c r="AB34" s="58">
        <f>IF(AA34="","",IF(MONTH(AA34+1)&lt;&gt;MONTH(AA34),"",AA34+1))</f>
        <v/>
      </c>
      <c r="AC34" s="58">
        <f>IF(AB34="","",IF(MONTH(AB34+1)&lt;&gt;MONTH(AB34),"",AB34+1))</f>
        <v/>
      </c>
      <c r="AD34" s="58">
        <f>IF(AC34="","",IF(MONTH(AC34+1)&lt;&gt;MONTH(AC34),"",AC34+1))</f>
        <v/>
      </c>
      <c r="AE34" s="37">
        <f>IF(AD34="","",IF(MONTH(AD34+1)&lt;&gt;MONTH(AD34),"",AD34+1))</f>
        <v/>
      </c>
      <c r="AF34" s="36">
        <f>IF(AE34="","",IF(MONTH(AE34+1)&lt;&gt;MONTH(AE34),"",AE34+1))</f>
        <v/>
      </c>
      <c r="AG34" s="68" t="n"/>
    </row>
    <row r="35" ht="18" customFormat="1" customHeight="1" s="69">
      <c r="A35" s="7" t="n">
        <v>1</v>
      </c>
      <c r="B35" s="36">
        <f>IF(H34="","",IF(MONTH(H34+1)&lt;&gt;MONTH(H34),"",H34+1))</f>
        <v/>
      </c>
      <c r="C35" s="51">
        <f>IF(B35="","",IF(MONTH(B35+1)&lt;&gt;MONTH(B35),"",B35+1))</f>
        <v/>
      </c>
      <c r="D35" s="51">
        <f>IF(C35="","",IF(MONTH(C35+1)&lt;&gt;MONTH(C35),"",C35+1))</f>
        <v/>
      </c>
      <c r="E35" s="51">
        <f>IF(D35="","",IF(MONTH(D35+1)&lt;&gt;MONTH(D35),"",D35+1))</f>
        <v/>
      </c>
      <c r="F35" s="36">
        <f>IF(E35="","",IF(MONTH(E35+1)&lt;&gt;MONTH(E35),"",E35+1))</f>
        <v/>
      </c>
      <c r="G35" s="36">
        <f>IF(F35="","",IF(MONTH(F35+1)&lt;&gt;MONTH(F35),"",F35+1))</f>
        <v/>
      </c>
      <c r="H35" s="36">
        <f>IF(G35="","",IF(MONTH(G35+1)&lt;&gt;MONTH(G35),"",G35+1))</f>
        <v/>
      </c>
      <c r="I35" s="7" t="n">
        <v>4</v>
      </c>
      <c r="J35" s="36">
        <f>IF(P34="","",IF(MONTH(P34+1)&lt;&gt;MONTH(P34),"",P34+1))</f>
        <v/>
      </c>
      <c r="K35" s="41">
        <f>IF(J35="","",IF(MONTH(J35+1)&lt;&gt;MONTH(J35),"",J35+1))</f>
        <v/>
      </c>
      <c r="L35" s="41">
        <f>IF(K35="","",IF(MONTH(K35+1)&lt;&gt;MONTH(K35),"",K35+1))</f>
        <v/>
      </c>
      <c r="M35" s="41">
        <f>IF(L35="","",IF(MONTH(L35+1)&lt;&gt;MONTH(L35),"",L35+1))</f>
        <v/>
      </c>
      <c r="N35" s="41">
        <f>IF(M35="","",IF(MONTH(M35+1)&lt;&gt;MONTH(M35),"",M35+1))</f>
        <v/>
      </c>
      <c r="O35" s="41">
        <f>IF(N35="","",IF(MONTH(N35+1)&lt;&gt;MONTH(N35),"",N35+1))</f>
        <v/>
      </c>
      <c r="P35" s="36">
        <f>IF(O35="","",IF(MONTH(O35+1)&lt;&gt;MONTH(O35),"",O35+1))</f>
        <v/>
      </c>
      <c r="Q35" s="7" t="n">
        <v>9</v>
      </c>
      <c r="R35" s="36">
        <f>IF(X34="","",IF(MONTH(X34+1)&lt;&gt;MONTH(X34),"",X34+1))</f>
        <v/>
      </c>
      <c r="S35" s="83">
        <f>IF(R35="","",IF(MONTH(R35+1)&lt;&gt;MONTH(R35),"",R35+1))</f>
        <v/>
      </c>
      <c r="T35" s="36">
        <f>IF(S35="","",IF(MONTH(S35+1)&lt;&gt;MONTH(S35),"",S35+1))</f>
        <v/>
      </c>
      <c r="U35" s="36">
        <f>IF(T35="","",IF(MONTH(T35+1)&lt;&gt;MONTH(T35),"",T35+1))</f>
        <v/>
      </c>
      <c r="V35" s="36">
        <f>IF(U35="","",IF(MONTH(U35+1)&lt;&gt;MONTH(U35),"",U35+1))</f>
        <v/>
      </c>
      <c r="W35" s="36">
        <f>IF(V35="","",IF(MONTH(V35+1)&lt;&gt;MONTH(V35),"",V35+1))</f>
        <v/>
      </c>
      <c r="X35" s="36">
        <f>IF(W35="","",IF(MONTH(W35+1)&lt;&gt;MONTH(W35),"",W35+1))</f>
        <v/>
      </c>
      <c r="Y35" s="7" t="n">
        <v>4</v>
      </c>
      <c r="Z35" s="36">
        <f>IF(AF34="","",IF(MONTH(AF34+1)&lt;&gt;MONTH(AF34),"",AF34+1))</f>
        <v/>
      </c>
      <c r="AA35" s="58">
        <f>IF(Z35="","",IF(MONTH(Z35+1)&lt;&gt;MONTH(Z35),"",Z35+1))</f>
        <v/>
      </c>
      <c r="AB35" s="58">
        <f>IF(AA35="","",IF(MONTH(AA35+1)&lt;&gt;MONTH(AA35),"",AA35+1))</f>
        <v/>
      </c>
      <c r="AC35" s="58">
        <f>IF(AB35="","",IF(MONTH(AB35+1)&lt;&gt;MONTH(AB35),"",AB35+1))</f>
        <v/>
      </c>
      <c r="AD35" s="58">
        <f>IF(AC35="","",IF(MONTH(AC35+1)&lt;&gt;MONTH(AC35),"",AC35+1))</f>
        <v/>
      </c>
      <c r="AE35" s="36">
        <f>IF(AD35="","",IF(MONTH(AD35+1)&lt;&gt;MONTH(AD35),"",AD35+1))</f>
        <v/>
      </c>
      <c r="AF35" s="36">
        <f>IF(AE35="","",IF(MONTH(AE35+1)&lt;&gt;MONTH(AE35),"",AE35+1))</f>
        <v/>
      </c>
      <c r="AG35" s="68" t="n"/>
    </row>
    <row r="36" ht="18" customFormat="1" customHeight="1" s="69">
      <c r="A36" s="7" t="n"/>
      <c r="B36" s="36">
        <f>IF(H35="","",IF(MONTH(H35+1)&lt;&gt;MONTH(H35),"",H35+1))</f>
        <v/>
      </c>
      <c r="C36" s="36">
        <f>IF(B36="","",IF(MONTH(B36+1)&lt;&gt;MONTH(B36),"",B36+1))</f>
        <v/>
      </c>
      <c r="D36" s="36">
        <f>IF(C36="","",IF(MONTH(C36+1)&lt;&gt;MONTH(C36),"",C36+1))</f>
        <v/>
      </c>
      <c r="E36" s="36">
        <f>IF(D36="","",IF(MONTH(D36+1)&lt;&gt;MONTH(D36),"",D36+1))</f>
        <v/>
      </c>
      <c r="F36" s="36">
        <f>IF(E36="","",IF(MONTH(E36+1)&lt;&gt;MONTH(E36),"",E36+1))</f>
        <v/>
      </c>
      <c r="G36" s="36">
        <f>IF(F36="","",IF(MONTH(F36+1)&lt;&gt;MONTH(F36),"",F36+1))</f>
        <v/>
      </c>
      <c r="H36" s="36">
        <f>IF(G36="","",IF(MONTH(G36+1)&lt;&gt;MONTH(G36),"",G36+1))</f>
        <v/>
      </c>
      <c r="I36" s="7" t="n"/>
      <c r="J36" s="36">
        <f>IF(P35="","",IF(MONTH(P35+1)&lt;&gt;MONTH(P35),"",P35+1))</f>
        <v/>
      </c>
      <c r="K36" s="36">
        <f>IF(J36="","",IF(MONTH(J36+1)&lt;&gt;MONTH(J36),"",J36+1))</f>
        <v/>
      </c>
      <c r="L36" s="36">
        <f>IF(K36="","",IF(MONTH(K36+1)&lt;&gt;MONTH(K36),"",K36+1))</f>
        <v/>
      </c>
      <c r="M36" s="36">
        <f>IF(L36="","",IF(MONTH(L36+1)&lt;&gt;MONTH(L36),"",L36+1))</f>
        <v/>
      </c>
      <c r="N36" s="36">
        <f>IF(M36="","",IF(MONTH(M36+1)&lt;&gt;MONTH(M36),"",M36+1))</f>
        <v/>
      </c>
      <c r="O36" s="36">
        <f>IF(N36="","",IF(MONTH(N36+1)&lt;&gt;MONTH(N36),"",N36+1))</f>
        <v/>
      </c>
      <c r="P36" s="36">
        <f>IF(O36="","",IF(MONTH(O36+1)&lt;&gt;MONTH(O36),"",O36+1))</f>
        <v/>
      </c>
      <c r="Q36" s="7" t="n"/>
      <c r="R36" s="36">
        <f>IF(X35="","",IF(MONTH(X35+1)&lt;&gt;MONTH(X35),"",X35+1))</f>
        <v/>
      </c>
      <c r="S36" s="36">
        <f>IF(R36="","",IF(MONTH(R36+1)&lt;&gt;MONTH(R36),"",R36+1))</f>
        <v/>
      </c>
      <c r="T36" s="36">
        <f>IF(S36="","",IF(MONTH(S36+1)&lt;&gt;MONTH(S36),"",S36+1))</f>
        <v/>
      </c>
      <c r="U36" s="36">
        <f>IF(T36="","",IF(MONTH(T36+1)&lt;&gt;MONTH(T36),"",T36+1))</f>
        <v/>
      </c>
      <c r="V36" s="36">
        <f>IF(U36="","",IF(MONTH(U36+1)&lt;&gt;MONTH(U36),"",U36+1))</f>
        <v/>
      </c>
      <c r="W36" s="36">
        <f>IF(V36="","",IF(MONTH(V36+1)&lt;&gt;MONTH(V36),"",V36+1))</f>
        <v/>
      </c>
      <c r="X36" s="36">
        <f>IF(W36="","",IF(MONTH(W36+1)&lt;&gt;MONTH(W36),"",W36+1))</f>
        <v/>
      </c>
      <c r="Y36" s="7" t="n"/>
      <c r="Z36" s="36">
        <f>IF(AF35="","",IF(MONTH(AF35+1)&lt;&gt;MONTH(AF35),"",AF35+1))</f>
        <v/>
      </c>
      <c r="AA36" s="36">
        <f>IF(Z36="","",IF(MONTH(Z36+1)&lt;&gt;MONTH(Z36),"",Z36+1))</f>
        <v/>
      </c>
      <c r="AB36" s="36">
        <f>IF(AA36="","",IF(MONTH(AA36+1)&lt;&gt;MONTH(AA36),"",AA36+1))</f>
        <v/>
      </c>
      <c r="AC36" s="36">
        <f>IF(AB36="","",IF(MONTH(AB36+1)&lt;&gt;MONTH(AB36),"",AB36+1))</f>
        <v/>
      </c>
      <c r="AD36" s="36">
        <f>IF(AC36="","",IF(MONTH(AC36+1)&lt;&gt;MONTH(AC36),"",AC36+1))</f>
        <v/>
      </c>
      <c r="AE36" s="36">
        <f>IF(AD36="","",IF(MONTH(AD36+1)&lt;&gt;MONTH(AD36),"",AD36+1))</f>
        <v/>
      </c>
      <c r="AF36" s="36">
        <f>IF(AE36="","",IF(MONTH(AE36+1)&lt;&gt;MONTH(AE36),"",AE36+1))</f>
        <v/>
      </c>
      <c r="AG36" s="68" t="n"/>
    </row>
    <row r="37" ht="15" customHeight="1">
      <c r="B37" s="19" t="inlineStr">
        <is>
          <t>Dates: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</row>
    <row r="38" ht="15" customHeight="1">
      <c r="B38" s="72" t="inlineStr">
        <is>
          <t>Begin Pre-Production - July 13th, 2026</t>
        </is>
      </c>
      <c r="C38" s="73" t="n"/>
      <c r="D38" s="73" t="n"/>
      <c r="E38" s="73" t="n"/>
      <c r="F38" s="73" t="n"/>
      <c r="G38" s="73" t="n"/>
      <c r="H38" s="73" t="n"/>
      <c r="I38" s="73" t="n"/>
      <c r="J38" s="73" t="n"/>
      <c r="K38" s="52" t="n"/>
      <c r="L38" s="52" t="n"/>
      <c r="M38" s="52" t="n"/>
      <c r="N38" s="74" t="inlineStr">
        <is>
          <t>12 weeks</t>
        </is>
      </c>
      <c r="O38" s="73" t="n"/>
      <c r="P38" s="75" t="n"/>
      <c r="R38" s="21" t="n"/>
      <c r="S38" s="22" t="n"/>
      <c r="T38" s="20" t="n"/>
      <c r="U38" s="20" t="inlineStr">
        <is>
          <t>Pre-Production</t>
        </is>
      </c>
      <c r="V38" s="20" t="n"/>
      <c r="W38" s="13" t="n"/>
      <c r="Y38" s="7" t="n"/>
      <c r="Z38" s="7" t="n"/>
      <c r="AA38" s="7" t="n"/>
      <c r="AB38" s="7" t="n"/>
      <c r="AC38" s="7" t="n"/>
      <c r="AD38" s="7" t="n"/>
      <c r="AE38" s="7" t="n"/>
      <c r="AF38" s="14" t="n"/>
      <c r="AG38" s="7" t="n"/>
    </row>
    <row r="39" ht="14" customFormat="1" customHeight="1" s="7">
      <c r="B39" s="55" t="n"/>
      <c r="C39" s="56" t="n"/>
      <c r="P39" s="57" t="n"/>
      <c r="R39" s="25" t="n"/>
      <c r="S39" s="26" t="n"/>
      <c r="T39" s="20" t="n"/>
      <c r="U39" s="20" t="inlineStr">
        <is>
          <t>Production</t>
        </is>
      </c>
      <c r="V39" s="20" t="n"/>
    </row>
    <row r="40" ht="15" customHeight="1">
      <c r="B40" s="81" t="inlineStr">
        <is>
          <t>Begin Production - October 5th, 2026</t>
        </is>
      </c>
      <c r="J40" s="48" t="n"/>
      <c r="N40" s="48" t="inlineStr">
        <is>
          <t>9 weeks /</t>
        </is>
      </c>
      <c r="O40" s="48" t="n"/>
      <c r="P40" s="49" t="n"/>
      <c r="R40" s="30" t="n"/>
      <c r="S40" s="31" t="n"/>
      <c r="T40" s="20" t="n"/>
      <c r="U40" s="20" t="inlineStr">
        <is>
          <t>Holidays / Hiatus</t>
        </is>
      </c>
      <c r="V40" s="20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</row>
    <row r="41" ht="15" customHeight="1">
      <c r="B41" s="23" t="n"/>
      <c r="C41" s="54" t="n"/>
      <c r="D41" s="13" t="n"/>
      <c r="E41" s="13" t="n"/>
      <c r="F41" s="13" t="n"/>
      <c r="G41" s="13" t="n"/>
      <c r="H41" s="13" t="n"/>
      <c r="I41" s="13" t="n"/>
      <c r="J41" s="13" t="n"/>
      <c r="N41" s="24" t="inlineStr">
        <is>
          <t>40 days</t>
        </is>
      </c>
      <c r="O41" s="24" t="n"/>
      <c r="P41" s="27" t="n"/>
      <c r="R41" s="28" t="n"/>
      <c r="S41" s="29" t="n"/>
      <c r="T41" s="20" t="n"/>
      <c r="U41" s="20" t="inlineStr">
        <is>
          <t>Post Production</t>
        </is>
      </c>
      <c r="V41" s="20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</row>
    <row r="42" ht="15" customHeight="1">
      <c r="B42" s="81" t="inlineStr">
        <is>
          <t>Begin Post Production - December 7th, 2026</t>
        </is>
      </c>
      <c r="C42" s="47" t="n"/>
      <c r="D42" s="47" t="n"/>
      <c r="E42" s="47" t="n"/>
      <c r="F42" s="47" t="n"/>
      <c r="G42" s="47" t="n"/>
      <c r="H42" s="47" t="n"/>
      <c r="I42" s="47" t="n"/>
      <c r="J42" s="47" t="n"/>
      <c r="N42" s="48" t="inlineStr">
        <is>
          <t>24 weeks</t>
        </is>
      </c>
      <c r="O42" s="48" t="n"/>
      <c r="P42" s="50" t="n"/>
      <c r="R42" s="34" t="n"/>
      <c r="S42" s="35" t="n"/>
      <c r="T42" s="20" t="n"/>
      <c r="U42" s="20" t="inlineStr">
        <is>
          <t>Print &amp; Ship</t>
        </is>
      </c>
      <c r="V42" s="20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</row>
    <row r="43" ht="15" customHeight="1">
      <c r="B43" s="43" t="inlineStr">
        <is>
          <t>Plus 4 weeks for Print &amp; Ship</t>
        </is>
      </c>
      <c r="C43" s="44" t="n"/>
      <c r="D43" s="44" t="n"/>
      <c r="E43" s="44" t="n"/>
      <c r="F43" s="44" t="n"/>
      <c r="G43" s="44" t="n"/>
      <c r="H43" s="44" t="n"/>
      <c r="I43" s="44" t="n"/>
      <c r="J43" s="44" t="n"/>
      <c r="N43" s="13" t="n"/>
      <c r="O43" s="13" t="n"/>
      <c r="P43" s="32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</row>
    <row r="44" ht="15" customHeight="1">
      <c r="B44" s="45" t="inlineStr">
        <is>
          <t>Ready for Release - June 18, 2027</t>
        </is>
      </c>
      <c r="C44" s="42" t="n"/>
      <c r="D44" s="42" t="n"/>
      <c r="E44" s="42" t="n"/>
      <c r="F44" s="42" t="n"/>
      <c r="G44" s="42" t="n"/>
      <c r="H44" s="42" t="n"/>
      <c r="I44" s="42" t="n"/>
      <c r="J44" s="42" t="n"/>
      <c r="K44" s="53" t="n"/>
      <c r="L44" s="53" t="n"/>
      <c r="M44" s="53" t="n"/>
      <c r="N44" s="42" t="n"/>
      <c r="O44" s="42" t="n"/>
      <c r="P44" s="33" t="n"/>
      <c r="R44" s="20" t="n"/>
      <c r="S44" s="20" t="n"/>
      <c r="T44" s="20" t="n"/>
      <c r="U44" s="20" t="n"/>
      <c r="V44" s="20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</row>
    <row r="45" ht="15" customHeight="1">
      <c r="B45" s="19" t="inlineStr">
        <is>
          <t>Notes: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T45" s="20" t="n"/>
      <c r="U45" s="20" t="n"/>
      <c r="V45" s="20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</row>
  </sheetData>
  <mergeCells count="37">
    <mergeCell ref="AE20:AF20"/>
    <mergeCell ref="J29:N29"/>
    <mergeCell ref="G11:H11"/>
    <mergeCell ref="Z11:AD11"/>
    <mergeCell ref="R29:V29"/>
    <mergeCell ref="R11:V11"/>
    <mergeCell ref="AI29:AI36"/>
    <mergeCell ref="B8:Y8"/>
    <mergeCell ref="B38:J38"/>
    <mergeCell ref="N38:P38"/>
    <mergeCell ref="W20:X20"/>
    <mergeCell ref="O29:P29"/>
    <mergeCell ref="O20:P20"/>
    <mergeCell ref="R1:X1"/>
    <mergeCell ref="B11:F11"/>
    <mergeCell ref="D3:F3"/>
    <mergeCell ref="J3:L3"/>
    <mergeCell ref="B7:AF7"/>
    <mergeCell ref="B29:F29"/>
    <mergeCell ref="R20:V20"/>
    <mergeCell ref="AE29:AF29"/>
    <mergeCell ref="J11:N11"/>
    <mergeCell ref="J20:N20"/>
    <mergeCell ref="R3:S3"/>
    <mergeCell ref="Z29:AD29"/>
    <mergeCell ref="B9:F9"/>
    <mergeCell ref="B40:I40"/>
    <mergeCell ref="G29:H29"/>
    <mergeCell ref="G20:H20"/>
    <mergeCell ref="Z20:AD20"/>
    <mergeCell ref="O11:P11"/>
    <mergeCell ref="B20:F20"/>
    <mergeCell ref="W11:X11"/>
    <mergeCell ref="W29:X29"/>
    <mergeCell ref="AI12:AI17"/>
    <mergeCell ref="AE11:AF11"/>
    <mergeCell ref="G9:H9"/>
  </mergeCells>
  <conditionalFormatting sqref="B11 B20 J11 J20 R11 R20 Z11 Z20">
    <cfRule type="expression" priority="2" dxfId="2">
      <formula>$J$3=1</formula>
    </cfRule>
  </conditionalFormatting>
  <conditionalFormatting sqref="B29 J29 R29 Z29">
    <cfRule type="expression" priority="1" dxfId="2">
      <formula>$J$3=1</formula>
    </cfRule>
  </conditionalFormatting>
  <conditionalFormatting sqref="B13:H18 B22:H27 B31:H36 J13:P18 J22:P27 J31:P36 R13:X18 R22:X27 R31:X36 Z13:AF18 Z22:AF27 Z31:AF36">
    <cfRule type="cellIs" priority="3" operator="equal" dxfId="1">
      <formula>""</formula>
    </cfRule>
    <cfRule type="expression" priority="4" dxfId="0">
      <formula>OR(WEEKDAY(B13,1)=1,WEEKDAY(B13,1)=7)</formula>
    </cfRule>
  </conditionalFormatting>
  <printOptions horizontalCentered="1"/>
  <pageMargins left="0.35" right="0.35" top="0.4" bottom="0.35" header="0.2" footer="0.2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I45"/>
  <sheetViews>
    <sheetView showGridLines="0" tabSelected="1" topLeftCell="A11" workbookViewId="0">
      <selection activeCell="AI29" sqref="AI29:AI36"/>
    </sheetView>
  </sheetViews>
  <sheetFormatPr baseColWidth="10" defaultColWidth="9.1640625" defaultRowHeight="14"/>
  <cols>
    <col width="3.1640625" customWidth="1" style="71" min="1" max="1"/>
    <col width="4" customWidth="1" style="71" min="2" max="32"/>
    <col width="3.1640625" customWidth="1" style="71" min="33" max="33"/>
    <col width="3.83203125" customWidth="1" style="71" min="34" max="34"/>
    <col width="31" customWidth="1" style="71" min="35" max="35"/>
    <col width="9.1640625" customWidth="1" style="71" min="36" max="38"/>
    <col width="9.1640625" customWidth="1" style="71" min="39" max="16384"/>
  </cols>
  <sheetData>
    <row r="1" ht="18" customHeight="1">
      <c r="A1" s="3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76" t="inlineStr">
        <is>
          <t>More Yearly Calendars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3.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3.5" customHeight="1">
      <c r="A3" s="1" t="n"/>
      <c r="B3" s="1" t="n"/>
      <c r="C3" s="6" t="inlineStr">
        <is>
          <t>Year:</t>
        </is>
      </c>
      <c r="D3" s="77" t="n">
        <v>2027</v>
      </c>
      <c r="E3" s="78" t="n"/>
      <c r="F3" s="79" t="n"/>
      <c r="G3" s="1" t="n"/>
      <c r="H3" s="1" t="n"/>
      <c r="I3" s="6" t="inlineStr">
        <is>
          <t>Month:</t>
        </is>
      </c>
      <c r="J3" s="77" t="n">
        <v>1</v>
      </c>
      <c r="K3" s="78" t="n"/>
      <c r="L3" s="79" t="n"/>
      <c r="M3" s="1" t="n"/>
      <c r="N3" s="1" t="n"/>
      <c r="O3" s="1" t="n"/>
      <c r="P3" s="1" t="n"/>
      <c r="Q3" s="4" t="inlineStr">
        <is>
          <t>Start Day</t>
        </is>
      </c>
      <c r="R3" s="77" t="n">
        <v>1</v>
      </c>
      <c r="S3" s="79" t="n"/>
      <c r="T3" s="2" t="inlineStr">
        <is>
          <t>1:Sun, 2:Mon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4" t="n"/>
      <c r="AG3" s="1" t="n"/>
      <c r="AI3" s="8" t="inlineStr">
        <is>
          <t>← Choose the year, start month, and start day</t>
        </is>
      </c>
    </row>
    <row r="4" ht="13.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3.5" customHeight="1"/>
    <row r="6" ht="13.5" customHeight="1"/>
    <row r="7" ht="23" customHeight="1">
      <c r="B7" s="70" t="inlineStr">
        <is>
          <t>THE COMEBACKER, Ready for Release June 18, 2027 as of 4/13/26</t>
        </is>
      </c>
    </row>
    <row r="8" ht="16" customHeight="1">
      <c r="B8" s="70" t="inlineStr">
        <is>
          <t>Assumes 40 Day Shoot; 24 Week Post</t>
        </is>
      </c>
    </row>
    <row r="9" ht="15" customHeight="1">
      <c r="B9" s="80" t="inlineStr">
        <is>
          <t>JANUARY - DECEMBER</t>
        </is>
      </c>
      <c r="G9" s="82">
        <f>IF($J$3=1,D3,D3&amp;"-"&amp;D3+1)</f>
        <v/>
      </c>
      <c r="J9" s="18" t="n"/>
      <c r="K9" s="18" t="n"/>
      <c r="L9" s="18" t="n"/>
      <c r="M9" s="18" t="n"/>
      <c r="N9" s="18" t="n"/>
      <c r="O9" s="18" t="n"/>
      <c r="P9" s="18" t="n"/>
      <c r="Q9" s="17" t="n"/>
      <c r="R9" s="17" t="n"/>
      <c r="S9" s="17" t="n"/>
    </row>
    <row r="10" ht="15.75" customHeight="1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 ht="22.5" customFormat="1" customHeight="1" s="66">
      <c r="A11" s="71" t="n"/>
      <c r="B11" s="65">
        <f>DATE(D3,J3,1)</f>
        <v/>
      </c>
      <c r="G11" s="63">
        <f>D3</f>
        <v/>
      </c>
      <c r="H11" s="64" t="n"/>
      <c r="I11" s="7" t="n"/>
      <c r="J11" s="65">
        <f>DATE(YEAR(B11+42),MONTH(B11+42),1)</f>
        <v/>
      </c>
      <c r="O11" s="63">
        <f>D3</f>
        <v/>
      </c>
      <c r="P11" s="64" t="n"/>
      <c r="Q11" s="7" t="n"/>
      <c r="R11" s="65">
        <f>DATE(YEAR(J11+42),MONTH(J11+42),1)</f>
        <v/>
      </c>
      <c r="W11" s="63">
        <f>D3</f>
        <v/>
      </c>
      <c r="X11" s="64" t="n"/>
      <c r="Y11" s="7" t="n"/>
      <c r="Z11" s="65">
        <f>DATE(YEAR(R11+42),MONTH(R11+42),1)</f>
        <v/>
      </c>
      <c r="AE11" s="63">
        <f>D3</f>
        <v/>
      </c>
      <c r="AF11" s="64" t="n"/>
      <c r="AG11" s="10" t="n"/>
      <c r="AI11" s="71" t="n"/>
    </row>
    <row r="12" ht="18" customFormat="1" customHeight="1" s="68">
      <c r="A12" s="7" t="n"/>
      <c r="B12" s="38">
        <f>CHOOSE(1+MOD($R$3+1-2,7),"Su","M","Tu","W","Th","F","Sa")</f>
        <v/>
      </c>
      <c r="C12" s="39">
        <f>CHOOSE(1+MOD($R$3+2-2,7),"Su","M","Tu","W","Th","F","Sa")</f>
        <v/>
      </c>
      <c r="D12" s="39">
        <f>CHOOSE(1+MOD($R$3+3-2,7),"Su","M","Tu","W","Th","F","Sa")</f>
        <v/>
      </c>
      <c r="E12" s="39">
        <f>CHOOSE(1+MOD($R$3+4-2,7),"Su","M","Tu","W","Th","F","Sa")</f>
        <v/>
      </c>
      <c r="F12" s="39">
        <f>CHOOSE(1+MOD($R$3+5-2,7),"Su","M","Tu","W","Th","F","Sa")</f>
        <v/>
      </c>
      <c r="G12" s="39">
        <f>CHOOSE(1+MOD($R$3+6-2,7),"Su","M","Tu","W","Th","F","Sa")</f>
        <v/>
      </c>
      <c r="H12" s="40">
        <f>CHOOSE(1+MOD($R$3+7-2,7),"Su","M","Tu","W","Th","F","Sa")</f>
        <v/>
      </c>
      <c r="I12" s="7" t="n"/>
      <c r="J12" s="38">
        <f>CHOOSE(1+MOD($R$3+1-2,7),"Su","M","Tu","W","Th","F","Sa")</f>
        <v/>
      </c>
      <c r="K12" s="39">
        <f>CHOOSE(1+MOD($R$3+2-2,7),"Su","M","Tu","W","Th","F","Sa")</f>
        <v/>
      </c>
      <c r="L12" s="39">
        <f>CHOOSE(1+MOD($R$3+3-2,7),"Su","M","Tu","W","Th","F","Sa")</f>
        <v/>
      </c>
      <c r="M12" s="39">
        <f>CHOOSE(1+MOD($R$3+4-2,7),"Su","M","Tu","W","Th","F","Sa")</f>
        <v/>
      </c>
      <c r="N12" s="39">
        <f>CHOOSE(1+MOD($R$3+5-2,7),"Su","M","Tu","W","Th","F","Sa")</f>
        <v/>
      </c>
      <c r="O12" s="39">
        <f>CHOOSE(1+MOD($R$3+6-2,7),"Su","M","Tu","W","Th","F","Sa")</f>
        <v/>
      </c>
      <c r="P12" s="40">
        <f>CHOOSE(1+MOD($R$3+7-2,7),"Su","M","Tu","W","Th","F","Sa")</f>
        <v/>
      </c>
      <c r="Q12" s="7" t="n"/>
      <c r="R12" s="38">
        <f>CHOOSE(1+MOD($R$3+1-2,7),"Su","M","Tu","W","Th","F","Sa")</f>
        <v/>
      </c>
      <c r="S12" s="39">
        <f>CHOOSE(1+MOD($R$3+2-2,7),"Su","M","Tu","W","Th","F","Sa")</f>
        <v/>
      </c>
      <c r="T12" s="39">
        <f>CHOOSE(1+MOD($R$3+3-2,7),"Su","M","Tu","W","Th","F","Sa")</f>
        <v/>
      </c>
      <c r="U12" s="39">
        <f>CHOOSE(1+MOD($R$3+4-2,7),"Su","M","Tu","W","Th","F","Sa")</f>
        <v/>
      </c>
      <c r="V12" s="39">
        <f>CHOOSE(1+MOD($R$3+5-2,7),"Su","M","Tu","W","Th","F","Sa")</f>
        <v/>
      </c>
      <c r="W12" s="39">
        <f>CHOOSE(1+MOD($R$3+6-2,7),"Su","M","Tu","W","Th","F","Sa")</f>
        <v/>
      </c>
      <c r="X12" s="40">
        <f>CHOOSE(1+MOD($R$3+7-2,7),"Su","M","Tu","W","Th","F","Sa")</f>
        <v/>
      </c>
      <c r="Y12" s="7" t="n"/>
      <c r="Z12" s="38">
        <f>CHOOSE(1+MOD($R$3+1-2,7),"Su","M","Tu","W","Th","F","Sa")</f>
        <v/>
      </c>
      <c r="AA12" s="39">
        <f>CHOOSE(1+MOD($R$3+2-2,7),"Su","M","Tu","W","Th","F","Sa")</f>
        <v/>
      </c>
      <c r="AB12" s="39">
        <f>CHOOSE(1+MOD($R$3+3-2,7),"Su","M","Tu","W","Th","F","Sa")</f>
        <v/>
      </c>
      <c r="AC12" s="39">
        <f>CHOOSE(1+MOD($R$3+4-2,7),"Su","M","Tu","W","Th","F","Sa")</f>
        <v/>
      </c>
      <c r="AD12" s="39">
        <f>CHOOSE(1+MOD($R$3+5-2,7),"Su","M","Tu","W","Th","F","Sa")</f>
        <v/>
      </c>
      <c r="AE12" s="39">
        <f>CHOOSE(1+MOD($R$3+6-2,7),"Su","M","Tu","W","Th","F","Sa")</f>
        <v/>
      </c>
      <c r="AF12" s="40">
        <f>CHOOSE(1+MOD($R$3+7-2,7),"Su","M","Tu","W","Th","F","Sa")</f>
        <v/>
      </c>
      <c r="AI12" s="67" t="inlineStr">
        <is>
          <t>Choose a new Color Scheme: Go to Page Layout &gt; Colors to change the theme colors, or Page Layout &gt; Fonts to change the theme fonts.</t>
        </is>
      </c>
    </row>
    <row r="13" ht="18" customFormat="1" customHeight="1" s="69">
      <c r="A13" s="7" t="n"/>
      <c r="B13" s="36">
        <f>IF(WEEKDAY(B11,1)=$R$3,B11,"")</f>
        <v/>
      </c>
      <c r="C13" s="36">
        <f>IF(B13="",IF(WEEKDAY(B11,1)=MOD($R$3,7)+1,B11,""),B13+1)</f>
        <v/>
      </c>
      <c r="D13" s="36">
        <f>IF(C13="",IF(WEEKDAY(B11,1)=MOD($R$3+1,7)+1,B11,""),C13+1)</f>
        <v/>
      </c>
      <c r="E13" s="36">
        <f>IF(D13="",IF(WEEKDAY(B11,1)=MOD($R$3+2,7)+1,B11,""),D13+1)</f>
        <v/>
      </c>
      <c r="F13" s="36">
        <f>IF(E13="",IF(WEEKDAY(B11,1)=MOD($R$3+3,7)+1,B11,""),E13+1)</f>
        <v/>
      </c>
      <c r="G13" s="37">
        <f>IF(F13="",IF(WEEKDAY(B11,1)=MOD($R$3+4,7)+1,B11,""),F13+1)</f>
        <v/>
      </c>
      <c r="H13" s="36">
        <f>IF(G13="",IF(WEEKDAY(B11,1)=MOD($R$3+5,7)+1,B11,""),G13+1)</f>
        <v/>
      </c>
      <c r="I13" s="7" t="n">
        <v>9</v>
      </c>
      <c r="J13" s="36">
        <f>IF(WEEKDAY(J11,1)=$R$3,J11,"")</f>
        <v/>
      </c>
      <c r="K13" s="58">
        <f>IF(J13="",IF(WEEKDAY(J11,1)=MOD($R$3,7)+1,J11,""),J13+1)</f>
        <v/>
      </c>
      <c r="L13" s="58">
        <f>IF(K13="",IF(WEEKDAY(J11,1)=MOD($R$3+1,7)+1,J11,""),K13+1)</f>
        <v/>
      </c>
      <c r="M13" s="58">
        <f>IF(L13="",IF(WEEKDAY(J11,1)=MOD($R$3+2,7)+1,J11,""),L13+1)</f>
        <v/>
      </c>
      <c r="N13" s="58">
        <f>IF(M13="",IF(WEEKDAY(J11,1)=MOD($R$3+3,7)+1,J11,""),M13+1)</f>
        <v/>
      </c>
      <c r="O13" s="58">
        <f>IF(N13="",IF(WEEKDAY(J11,1)=MOD($R$3+4,7)+1,J11,""),N13+1)</f>
        <v/>
      </c>
      <c r="P13" s="36">
        <f>IF(O13="",IF(WEEKDAY(J11,1)=MOD($R$3+5,7)+1,J11,""),O13+1)</f>
        <v/>
      </c>
      <c r="Q13" s="7" t="n">
        <v>13</v>
      </c>
      <c r="R13" s="36">
        <f>IF(WEEKDAY(R11,1)=$R$3,R11,"")</f>
        <v/>
      </c>
      <c r="S13" s="58">
        <f>IF(R13="",IF(WEEKDAY(R11,1)=MOD($R$3,7)+1,R11,""),R13+1)</f>
        <v/>
      </c>
      <c r="T13" s="58">
        <f>IF(S13="",IF(WEEKDAY(R11,1)=MOD($R$3+1,7)+1,R11,""),S13+1)</f>
        <v/>
      </c>
      <c r="U13" s="58">
        <f>IF(T13="",IF(WEEKDAY(R11,1)=MOD($R$3+2,7)+1,R11,""),T13+1)</f>
        <v/>
      </c>
      <c r="V13" s="58">
        <f>IF(U13="",IF(WEEKDAY(R11,1)=MOD($R$3+3,7)+1,R11,""),U13+1)</f>
        <v/>
      </c>
      <c r="W13" s="58">
        <f>IF(V13="",IF(WEEKDAY(R11,1)=MOD($R$3+4,7)+1,R11,""),V13+1)</f>
        <v/>
      </c>
      <c r="X13" s="36">
        <f>IF(W13="",IF(WEEKDAY(R11,1)=MOD($R$3+5,7)+1,R11,""),W13+1)</f>
        <v/>
      </c>
      <c r="Y13" s="7" t="n"/>
      <c r="Z13" s="36">
        <f>IF(WEEKDAY(Z11,1)=$R$3,Z11,"")</f>
        <v/>
      </c>
      <c r="AA13" s="36">
        <f>IF(Z13="",IF(WEEKDAY(Z11,1)=MOD($R$3,7)+1,Z11,""),Z13+1)</f>
        <v/>
      </c>
      <c r="AB13" s="36">
        <f>IF(AA13="",IF(WEEKDAY(Z11,1)=MOD($R$3+1,7)+1,Z11,""),AA13+1)</f>
        <v/>
      </c>
      <c r="AC13" s="36">
        <f>IF(AB13="",IF(WEEKDAY(Z11,1)=MOD($R$3+2,7)+1,Z11,""),AB13+1)</f>
        <v/>
      </c>
      <c r="AD13" s="58">
        <f>IF(AC13="",IF(WEEKDAY(Z11,1)=MOD($R$3+3,7)+1,Z11,""),AC13+1)</f>
        <v/>
      </c>
      <c r="AE13" s="58">
        <f>IF(AD13="",IF(WEEKDAY(Z11,1)=MOD($R$3+4,7)+1,Z11,""),AD13+1)</f>
        <v/>
      </c>
      <c r="AF13" s="36">
        <f>IF(AE13="",IF(WEEKDAY(Z11,1)=MOD($R$3+5,7)+1,Z11,""),AE13+1)</f>
        <v/>
      </c>
      <c r="AG13" s="68" t="n"/>
    </row>
    <row r="14" ht="18" customFormat="1" customHeight="1" s="69">
      <c r="A14" s="7" t="n">
        <v>5</v>
      </c>
      <c r="B14" s="36">
        <f>IF(H13="","",IF(MONTH(H13+1)&lt;&gt;MONTH(H13),"",H13+1))</f>
        <v/>
      </c>
      <c r="C14" s="58">
        <f>IF(B14="","",IF(MONTH(B14+1)&lt;&gt;MONTH(B14),"",B14+1))</f>
        <v/>
      </c>
      <c r="D14" s="58">
        <f>IF(C14="","",IF(MONTH(C14+1)&lt;&gt;MONTH(C14),"",C14+1))</f>
        <v/>
      </c>
      <c r="E14" s="58">
        <f>IF(D14="","",IF(MONTH(D14+1)&lt;&gt;MONTH(D14),"",D14+1))</f>
        <v/>
      </c>
      <c r="F14" s="58">
        <f>IF(E14="","",IF(MONTH(E14+1)&lt;&gt;MONTH(E14),"",E14+1))</f>
        <v/>
      </c>
      <c r="G14" s="58">
        <f>IF(F14="","",IF(MONTH(F14+1)&lt;&gt;MONTH(F14),"",F14+1))</f>
        <v/>
      </c>
      <c r="H14" s="36">
        <f>IF(G14="","",IF(MONTH(G14+1)&lt;&gt;MONTH(G14),"",G14+1))</f>
        <v/>
      </c>
      <c r="I14" s="7" t="n">
        <v>10</v>
      </c>
      <c r="J14" s="36">
        <f>IF(P13="","",IF(MONTH(P13+1)&lt;&gt;MONTH(P13),"",P13+1))</f>
        <v/>
      </c>
      <c r="K14" s="58">
        <f>IF(J14="","",IF(MONTH(J14+1)&lt;&gt;MONTH(J14),"",J14+1))</f>
        <v/>
      </c>
      <c r="L14" s="58">
        <f>IF(K14="","",IF(MONTH(K14+1)&lt;&gt;MONTH(K14),"",K14+1))</f>
        <v/>
      </c>
      <c r="M14" s="58">
        <f>IF(L14="","",IF(MONTH(L14+1)&lt;&gt;MONTH(L14),"",L14+1))</f>
        <v/>
      </c>
      <c r="N14" s="58">
        <f>IF(M14="","",IF(MONTH(M14+1)&lt;&gt;MONTH(M14),"",M14+1))</f>
        <v/>
      </c>
      <c r="O14" s="58">
        <f>IF(N14="","",IF(MONTH(N14+1)&lt;&gt;MONTH(N14),"",N14+1))</f>
        <v/>
      </c>
      <c r="P14" s="36">
        <f>IF(O14="","",IF(MONTH(O14+1)&lt;&gt;MONTH(O14),"",O14+1))</f>
        <v/>
      </c>
      <c r="Q14" s="7" t="n">
        <v>14</v>
      </c>
      <c r="R14" s="36">
        <f>IF(X13="","",IF(MONTH(X13+1)&lt;&gt;MONTH(X13),"",X13+1))</f>
        <v/>
      </c>
      <c r="S14" s="58">
        <f>IF(R14="","",IF(MONTH(R14+1)&lt;&gt;MONTH(R14),"",R14+1))</f>
        <v/>
      </c>
      <c r="T14" s="58">
        <f>IF(S14="","",IF(MONTH(S14+1)&lt;&gt;MONTH(S14),"",S14+1))</f>
        <v/>
      </c>
      <c r="U14" s="58">
        <f>IF(T14="","",IF(MONTH(T14+1)&lt;&gt;MONTH(T14),"",T14+1))</f>
        <v/>
      </c>
      <c r="V14" s="58">
        <f>IF(U14="","",IF(MONTH(U14+1)&lt;&gt;MONTH(U14),"",U14+1))</f>
        <v/>
      </c>
      <c r="W14" s="58">
        <f>IF(V14="","",IF(MONTH(V14+1)&lt;&gt;MONTH(V14),"",V14+1))</f>
        <v/>
      </c>
      <c r="X14" s="36">
        <f>IF(W14="","",IF(MONTH(W14+1)&lt;&gt;MONTH(W14),"",W14+1))</f>
        <v/>
      </c>
      <c r="Y14" s="7" t="n">
        <v>18</v>
      </c>
      <c r="Z14" s="36">
        <f>IF(AF13="","",IF(MONTH(AF13+1)&lt;&gt;MONTH(AF13),"",AF13+1))</f>
        <v/>
      </c>
      <c r="AA14" s="58">
        <f>IF(Z14="","",IF(MONTH(Z14+1)&lt;&gt;MONTH(Z14),"",Z14+1))</f>
        <v/>
      </c>
      <c r="AB14" s="58">
        <f>IF(AA14="","",IF(MONTH(AA14+1)&lt;&gt;MONTH(AA14),"",AA14+1))</f>
        <v/>
      </c>
      <c r="AC14" s="58">
        <f>IF(AB14="","",IF(MONTH(AB14+1)&lt;&gt;MONTH(AB14),"",AB14+1))</f>
        <v/>
      </c>
      <c r="AD14" s="58">
        <f>IF(AC14="","",IF(MONTH(AC14+1)&lt;&gt;MONTH(AC14),"",AC14+1))</f>
        <v/>
      </c>
      <c r="AE14" s="58">
        <f>IF(AD14="","",IF(MONTH(AD14+1)&lt;&gt;MONTH(AD14),"",AD14+1))</f>
        <v/>
      </c>
      <c r="AF14" s="36">
        <f>IF(AE14="","",IF(MONTH(AE14+1)&lt;&gt;MONTH(AE14),"",AE14+1))</f>
        <v/>
      </c>
      <c r="AG14" s="68" t="n"/>
    </row>
    <row r="15" ht="18" customFormat="1" customHeight="1" s="69">
      <c r="A15" s="7" t="n">
        <v>6</v>
      </c>
      <c r="B15" s="36">
        <f>IF(H14="","",IF(MONTH(H14+1)&lt;&gt;MONTH(H14),"",H14+1))</f>
        <v/>
      </c>
      <c r="C15" s="58">
        <f>IF(B15="","",IF(MONTH(B15+1)&lt;&gt;MONTH(B15),"",B15+1))</f>
        <v/>
      </c>
      <c r="D15" s="58">
        <f>IF(C15="","",IF(MONTH(C15+1)&lt;&gt;MONTH(C15),"",C15+1))</f>
        <v/>
      </c>
      <c r="E15" s="58">
        <f>IF(D15="","",IF(MONTH(D15+1)&lt;&gt;MONTH(D15),"",D15+1))</f>
        <v/>
      </c>
      <c r="F15" s="58">
        <f>IF(E15="","",IF(MONTH(E15+1)&lt;&gt;MONTH(E15),"",E15+1))</f>
        <v/>
      </c>
      <c r="G15" s="58">
        <f>IF(F15="","",IF(MONTH(F15+1)&lt;&gt;MONTH(F15),"",F15+1))</f>
        <v/>
      </c>
      <c r="H15" s="36">
        <f>IF(G15="","",IF(MONTH(G15+1)&lt;&gt;MONTH(G15),"",G15+1))</f>
        <v/>
      </c>
      <c r="I15" s="7" t="n">
        <v>11</v>
      </c>
      <c r="J15" s="36">
        <f>IF(P14="","",IF(MONTH(P14+1)&lt;&gt;MONTH(P14),"",P14+1))</f>
        <v/>
      </c>
      <c r="K15" s="37">
        <f>IF(J15="","",IF(MONTH(J15+1)&lt;&gt;MONTH(J15),"",J15+1))</f>
        <v/>
      </c>
      <c r="L15" s="58">
        <f>IF(K15="","",IF(MONTH(K15+1)&lt;&gt;MONTH(K15),"",K15+1))</f>
        <v/>
      </c>
      <c r="M15" s="58">
        <f>IF(L15="","",IF(MONTH(L15+1)&lt;&gt;MONTH(L15),"",L15+1))</f>
        <v/>
      </c>
      <c r="N15" s="58">
        <f>IF(M15="","",IF(MONTH(M15+1)&lt;&gt;MONTH(M15),"",M15+1))</f>
        <v/>
      </c>
      <c r="O15" s="58">
        <f>IF(N15="","",IF(MONTH(N15+1)&lt;&gt;MONTH(N15),"",N15+1))</f>
        <v/>
      </c>
      <c r="P15" s="36">
        <f>IF(O15="","",IF(MONTH(O15+1)&lt;&gt;MONTH(O15),"",O15+1))</f>
        <v/>
      </c>
      <c r="Q15" s="7" t="n">
        <v>15</v>
      </c>
      <c r="R15" s="36">
        <f>IF(X14="","",IF(MONTH(X14+1)&lt;&gt;MONTH(X14),"",X14+1))</f>
        <v/>
      </c>
      <c r="S15" s="58">
        <f>IF(R15="","",IF(MONTH(R15+1)&lt;&gt;MONTH(R15),"",R15+1))</f>
        <v/>
      </c>
      <c r="T15" s="58">
        <f>IF(S15="","",IF(MONTH(S15+1)&lt;&gt;MONTH(S15),"",S15+1))</f>
        <v/>
      </c>
      <c r="U15" s="58">
        <f>IF(T15="","",IF(MONTH(T15+1)&lt;&gt;MONTH(T15),"",T15+1))</f>
        <v/>
      </c>
      <c r="V15" s="58">
        <f>IF(U15="","",IF(MONTH(U15+1)&lt;&gt;MONTH(U15),"",U15+1))</f>
        <v/>
      </c>
      <c r="W15" s="58">
        <f>IF(V15="","",IF(MONTH(V15+1)&lt;&gt;MONTH(V15),"",V15+1))</f>
        <v/>
      </c>
      <c r="X15" s="36">
        <f>IF(W15="","",IF(MONTH(W15+1)&lt;&gt;MONTH(W15),"",W15+1))</f>
        <v/>
      </c>
      <c r="Y15" s="7" t="n">
        <v>19</v>
      </c>
      <c r="Z15" s="36">
        <f>IF(AF14="","",IF(MONTH(AF14+1)&lt;&gt;MONTH(AF14),"",AF14+1))</f>
        <v/>
      </c>
      <c r="AA15" s="58">
        <f>IF(Z15="","",IF(MONTH(Z15+1)&lt;&gt;MONTH(Z15),"",Z15+1))</f>
        <v/>
      </c>
      <c r="AB15" s="58">
        <f>IF(AA15="","",IF(MONTH(AA15+1)&lt;&gt;MONTH(AA15),"",AA15+1))</f>
        <v/>
      </c>
      <c r="AC15" s="58">
        <f>IF(AB15="","",IF(MONTH(AB15+1)&lt;&gt;MONTH(AB15),"",AB15+1))</f>
        <v/>
      </c>
      <c r="AD15" s="58">
        <f>IF(AC15="","",IF(MONTH(AC15+1)&lt;&gt;MONTH(AC15),"",AC15+1))</f>
        <v/>
      </c>
      <c r="AE15" s="58">
        <f>IF(AD15="","",IF(MONTH(AD15+1)&lt;&gt;MONTH(AD15),"",AD15+1))</f>
        <v/>
      </c>
      <c r="AF15" s="36">
        <f>IF(AE15="","",IF(MONTH(AE15+1)&lt;&gt;MONTH(AE15),"",AE15+1))</f>
        <v/>
      </c>
      <c r="AG15" s="68" t="n"/>
    </row>
    <row r="16" ht="18" customFormat="1" customHeight="1" s="69">
      <c r="A16" s="7" t="n">
        <v>7</v>
      </c>
      <c r="B16" s="36">
        <f>IF(H15="","",IF(MONTH(H15+1)&lt;&gt;MONTH(H15),"",H15+1))</f>
        <v/>
      </c>
      <c r="C16" s="37">
        <f>IF(B16="","",IF(MONTH(B16+1)&lt;&gt;MONTH(B16),"",B16+1))</f>
        <v/>
      </c>
      <c r="D16" s="58">
        <f>IF(C16="","",IF(MONTH(C16+1)&lt;&gt;MONTH(C16),"",C16+1))</f>
        <v/>
      </c>
      <c r="E16" s="58">
        <f>IF(D16="","",IF(MONTH(D16+1)&lt;&gt;MONTH(D16),"",D16+1))</f>
        <v/>
      </c>
      <c r="F16" s="58">
        <f>IF(E16="","",IF(MONTH(E16+1)&lt;&gt;MONTH(E16),"",E16+1))</f>
        <v/>
      </c>
      <c r="G16" s="58">
        <f>IF(F16="","",IF(MONTH(F16+1)&lt;&gt;MONTH(F16),"",F16+1))</f>
        <v/>
      </c>
      <c r="H16" s="36">
        <f>IF(G16="","",IF(MONTH(G16+1)&lt;&gt;MONTH(G16),"",G16+1))</f>
        <v/>
      </c>
      <c r="I16" s="7" t="n">
        <v>12</v>
      </c>
      <c r="J16" s="36">
        <f>IF(P15="","",IF(MONTH(P15+1)&lt;&gt;MONTH(P15),"",P15+1))</f>
        <v/>
      </c>
      <c r="K16" s="58">
        <f>IF(J16="","",IF(MONTH(J16+1)&lt;&gt;MONTH(J16),"",J16+1))</f>
        <v/>
      </c>
      <c r="L16" s="58">
        <f>IF(K16="","",IF(MONTH(K16+1)&lt;&gt;MONTH(K16),"",K16+1))</f>
        <v/>
      </c>
      <c r="M16" s="58">
        <f>IF(L16="","",IF(MONTH(L16+1)&lt;&gt;MONTH(L16),"",L16+1))</f>
        <v/>
      </c>
      <c r="N16" s="58">
        <f>IF(M16="","",IF(MONTH(M16+1)&lt;&gt;MONTH(M16),"",M16+1))</f>
        <v/>
      </c>
      <c r="O16" s="58">
        <f>IF(N16="","",IF(MONTH(N16+1)&lt;&gt;MONTH(N16),"",N16+1))</f>
        <v/>
      </c>
      <c r="P16" s="36">
        <f>IF(O16="","",IF(MONTH(O16+1)&lt;&gt;MONTH(O16),"",O16+1))</f>
        <v/>
      </c>
      <c r="Q16" s="7" t="n">
        <v>16</v>
      </c>
      <c r="R16" s="36">
        <f>IF(X15="","",IF(MONTH(X15+1)&lt;&gt;MONTH(X15),"",X15+1))</f>
        <v/>
      </c>
      <c r="S16" s="58">
        <f>IF(R16="","",IF(MONTH(R16+1)&lt;&gt;MONTH(R16),"",R16+1))</f>
        <v/>
      </c>
      <c r="T16" s="58">
        <f>IF(S16="","",IF(MONTH(S16+1)&lt;&gt;MONTH(S16),"",S16+1))</f>
        <v/>
      </c>
      <c r="U16" s="58">
        <f>IF(T16="","",IF(MONTH(T16+1)&lt;&gt;MONTH(T16),"",T16+1))</f>
        <v/>
      </c>
      <c r="V16" s="58">
        <f>IF(U16="","",IF(MONTH(U16+1)&lt;&gt;MONTH(U16),"",U16+1))</f>
        <v/>
      </c>
      <c r="W16" s="58">
        <f>IF(V16="","",IF(MONTH(V16+1)&lt;&gt;MONTH(V16),"",V16+1))</f>
        <v/>
      </c>
      <c r="X16" s="36">
        <f>IF(W16="","",IF(MONTH(W16+1)&lt;&gt;MONTH(W16),"",W16+1))</f>
        <v/>
      </c>
      <c r="Y16" s="7" t="n">
        <v>20</v>
      </c>
      <c r="Z16" s="36">
        <f>IF(AF15="","",IF(MONTH(AF15+1)&lt;&gt;MONTH(AF15),"",AF15+1))</f>
        <v/>
      </c>
      <c r="AA16" s="58">
        <f>IF(Z16="","",IF(MONTH(Z16+1)&lt;&gt;MONTH(Z16),"",Z16+1))</f>
        <v/>
      </c>
      <c r="AB16" s="58">
        <f>IF(AA16="","",IF(MONTH(AA16+1)&lt;&gt;MONTH(AA16),"",AA16+1))</f>
        <v/>
      </c>
      <c r="AC16" s="58">
        <f>IF(AB16="","",IF(MONTH(AB16+1)&lt;&gt;MONTH(AB16),"",AB16+1))</f>
        <v/>
      </c>
      <c r="AD16" s="58">
        <f>IF(AC16="","",IF(MONTH(AC16+1)&lt;&gt;MONTH(AC16),"",AC16+1))</f>
        <v/>
      </c>
      <c r="AE16" s="58">
        <f>IF(AD16="","",IF(MONTH(AD16+1)&lt;&gt;MONTH(AD16),"",AD16+1))</f>
        <v/>
      </c>
      <c r="AF16" s="36">
        <f>IF(AE16="","",IF(MONTH(AE16+1)&lt;&gt;MONTH(AE16),"",AE16+1))</f>
        <v/>
      </c>
      <c r="AG16" s="68" t="n"/>
    </row>
    <row r="17" ht="18" customFormat="1" customHeight="1" s="69">
      <c r="A17" s="7" t="n">
        <v>8</v>
      </c>
      <c r="B17" s="36">
        <f>IF(H16="","",IF(MONTH(H16+1)&lt;&gt;MONTH(H16),"",H16+1))</f>
        <v/>
      </c>
      <c r="C17" s="58">
        <f>IF(B17="","",IF(MONTH(B17+1)&lt;&gt;MONTH(B17),"",B17+1))</f>
        <v/>
      </c>
      <c r="D17" s="58">
        <f>IF(C17="","",IF(MONTH(C17+1)&lt;&gt;MONTH(C17),"",C17+1))</f>
        <v/>
      </c>
      <c r="E17" s="58">
        <f>IF(D17="","",IF(MONTH(D17+1)&lt;&gt;MONTH(D17),"",D17+1))</f>
        <v/>
      </c>
      <c r="F17" s="58">
        <f>IF(E17="","",IF(MONTH(E17+1)&lt;&gt;MONTH(E17),"",E17+1))</f>
        <v/>
      </c>
      <c r="G17" s="58">
        <f>IF(F17="","",IF(MONTH(F17+1)&lt;&gt;MONTH(F17),"",F17+1))</f>
        <v/>
      </c>
      <c r="H17" s="36">
        <f>IF(G17="","",IF(MONTH(G17+1)&lt;&gt;MONTH(G17),"",G17+1))</f>
        <v/>
      </c>
      <c r="I17" s="7" t="n"/>
      <c r="J17" s="36">
        <f>IF(P16="","",IF(MONTH(P16+1)&lt;&gt;MONTH(P16),"",P16+1))</f>
        <v/>
      </c>
      <c r="K17" s="36">
        <f>IF(J17="","",IF(MONTH(J17+1)&lt;&gt;MONTH(J17),"",J17+1))</f>
        <v/>
      </c>
      <c r="L17" s="36">
        <f>IF(K17="","",IF(MONTH(K17+1)&lt;&gt;MONTH(K17),"",K17+1))</f>
        <v/>
      </c>
      <c r="M17" s="36">
        <f>IF(L17="","",IF(MONTH(L17+1)&lt;&gt;MONTH(L17),"",L17+1))</f>
        <v/>
      </c>
      <c r="N17" s="36">
        <f>IF(M17="","",IF(MONTH(M17+1)&lt;&gt;MONTH(M17),"",M17+1))</f>
        <v/>
      </c>
      <c r="O17" s="36">
        <f>IF(N17="","",IF(MONTH(N17+1)&lt;&gt;MONTH(N17),"",N17+1))</f>
        <v/>
      </c>
      <c r="P17" s="36">
        <f>IF(O17="","",IF(MONTH(O17+1)&lt;&gt;MONTH(O17),"",O17+1))</f>
        <v/>
      </c>
      <c r="Q17" s="7" t="n">
        <v>17</v>
      </c>
      <c r="R17" s="36">
        <f>IF(X16="","",IF(MONTH(X16+1)&lt;&gt;MONTH(X16),"",X16+1))</f>
        <v/>
      </c>
      <c r="S17" s="58">
        <f>IF(R17="","",IF(MONTH(R17+1)&lt;&gt;MONTH(R17),"",R17+1))</f>
        <v/>
      </c>
      <c r="T17" s="58">
        <f>IF(S17="","",IF(MONTH(S17+1)&lt;&gt;MONTH(S17),"",S17+1))</f>
        <v/>
      </c>
      <c r="U17" s="58">
        <f>IF(T17="","",IF(MONTH(T17+1)&lt;&gt;MONTH(T17),"",T17+1))</f>
        <v/>
      </c>
      <c r="V17" s="36">
        <f>IF(U17="","",IF(MONTH(U17+1)&lt;&gt;MONTH(U17),"",U17+1))</f>
        <v/>
      </c>
      <c r="W17" s="36">
        <f>IF(V17="","",IF(MONTH(V17+1)&lt;&gt;MONTH(V17),"",V17+1))</f>
        <v/>
      </c>
      <c r="X17" s="36">
        <f>IF(W17="","",IF(MONTH(W17+1)&lt;&gt;MONTH(W17),"",W17+1))</f>
        <v/>
      </c>
      <c r="Y17" s="7" t="n">
        <v>21</v>
      </c>
      <c r="Z17" s="36">
        <f>IF(AF16="","",IF(MONTH(AF16+1)&lt;&gt;MONTH(AF16),"",AF16+1))</f>
        <v/>
      </c>
      <c r="AA17" s="58">
        <f>IF(Z17="","",IF(MONTH(Z17+1)&lt;&gt;MONTH(Z17),"",Z17+1))</f>
        <v/>
      </c>
      <c r="AB17" s="58">
        <f>IF(AA17="","",IF(MONTH(AA17+1)&lt;&gt;MONTH(AA17),"",AA17+1))</f>
        <v/>
      </c>
      <c r="AC17" s="58">
        <f>IF(AB17="","",IF(MONTH(AB17+1)&lt;&gt;MONTH(AB17),"",AB17+1))</f>
        <v/>
      </c>
      <c r="AD17" s="58">
        <f>IF(AC17="","",IF(MONTH(AC17+1)&lt;&gt;MONTH(AC17),"",AC17+1))</f>
        <v/>
      </c>
      <c r="AE17" s="58">
        <f>IF(AD17="","",IF(MONTH(AD17+1)&lt;&gt;MONTH(AD17),"",AD17+1))</f>
        <v/>
      </c>
      <c r="AF17" s="36">
        <f>IF(AE17="","",IF(MONTH(AE17+1)&lt;&gt;MONTH(AE17),"",AE17+1))</f>
        <v/>
      </c>
      <c r="AG17" s="68" t="n"/>
    </row>
    <row r="18" ht="18" customFormat="1" customHeight="1" s="69">
      <c r="A18" s="7" t="n"/>
      <c r="B18" s="36">
        <f>IF(H17="","",IF(MONTH(H17+1)&lt;&gt;MONTH(H17),"",H17+1))</f>
        <v/>
      </c>
      <c r="C18" s="36">
        <f>IF(B18="","",IF(MONTH(B18+1)&lt;&gt;MONTH(B18),"",B18+1))</f>
        <v/>
      </c>
      <c r="D18" s="36">
        <f>IF(C18="","",IF(MONTH(C18+1)&lt;&gt;MONTH(C18),"",C18+1))</f>
        <v/>
      </c>
      <c r="E18" s="36">
        <f>IF(D18="","",IF(MONTH(D18+1)&lt;&gt;MONTH(D18),"",D18+1))</f>
        <v/>
      </c>
      <c r="F18" s="36">
        <f>IF(E18="","",IF(MONTH(E18+1)&lt;&gt;MONTH(E18),"",E18+1))</f>
        <v/>
      </c>
      <c r="G18" s="36">
        <f>IF(F18="","",IF(MONTH(F18+1)&lt;&gt;MONTH(F18),"",F18+1))</f>
        <v/>
      </c>
      <c r="H18" s="36">
        <f>IF(G18="","",IF(MONTH(G18+1)&lt;&gt;MONTH(G18),"",G18+1))</f>
        <v/>
      </c>
      <c r="I18" s="7" t="n"/>
      <c r="J18" s="36">
        <f>IF(P17="","",IF(MONTH(P17+1)&lt;&gt;MONTH(P17),"",P17+1))</f>
        <v/>
      </c>
      <c r="K18" s="36">
        <f>IF(J18="","",IF(MONTH(J18+1)&lt;&gt;MONTH(J18),"",J18+1))</f>
        <v/>
      </c>
      <c r="L18" s="36">
        <f>IF(K18="","",IF(MONTH(K18+1)&lt;&gt;MONTH(K18),"",K18+1))</f>
        <v/>
      </c>
      <c r="M18" s="36">
        <f>IF(L18="","",IF(MONTH(L18+1)&lt;&gt;MONTH(L18),"",L18+1))</f>
        <v/>
      </c>
      <c r="N18" s="36">
        <f>IF(M18="","",IF(MONTH(M18+1)&lt;&gt;MONTH(M18),"",M18+1))</f>
        <v/>
      </c>
      <c r="O18" s="36">
        <f>IF(N18="","",IF(MONTH(N18+1)&lt;&gt;MONTH(N18),"",N18+1))</f>
        <v/>
      </c>
      <c r="P18" s="36">
        <f>IF(O18="","",IF(MONTH(O18+1)&lt;&gt;MONTH(O18),"",O18+1))</f>
        <v/>
      </c>
      <c r="Q18" s="7" t="n"/>
      <c r="R18" s="36">
        <f>IF(X17="","",IF(MONTH(X17+1)&lt;&gt;MONTH(X17),"",X17+1))</f>
        <v/>
      </c>
      <c r="S18" s="36">
        <f>IF(R18="","",IF(MONTH(R18+1)&lt;&gt;MONTH(R18),"",R18+1))</f>
        <v/>
      </c>
      <c r="T18" s="36">
        <f>IF(S18="","",IF(MONTH(S18+1)&lt;&gt;MONTH(S18),"",S18+1))</f>
        <v/>
      </c>
      <c r="U18" s="36">
        <f>IF(T18="","",IF(MONTH(T18+1)&lt;&gt;MONTH(T18),"",T18+1))</f>
        <v/>
      </c>
      <c r="V18" s="36">
        <f>IF(U18="","",IF(MONTH(U18+1)&lt;&gt;MONTH(U18),"",U18+1))</f>
        <v/>
      </c>
      <c r="W18" s="36">
        <f>IF(V18="","",IF(MONTH(V18+1)&lt;&gt;MONTH(V18),"",V18+1))</f>
        <v/>
      </c>
      <c r="X18" s="36">
        <f>IF(W18="","",IF(MONTH(W18+1)&lt;&gt;MONTH(W18),"",W18+1))</f>
        <v/>
      </c>
      <c r="Y18" s="7" t="n"/>
      <c r="Z18" s="36">
        <f>IF(AF17="","",IF(MONTH(AF17+1)&lt;&gt;MONTH(AF17),"",AF17+1))</f>
        <v/>
      </c>
      <c r="AA18" s="36">
        <f>IF(Z18="","",IF(MONTH(Z18+1)&lt;&gt;MONTH(Z18),"",Z18+1))</f>
        <v/>
      </c>
      <c r="AB18" s="36">
        <f>IF(AA18="","",IF(MONTH(AA18+1)&lt;&gt;MONTH(AA18),"",AA18+1))</f>
        <v/>
      </c>
      <c r="AC18" s="36">
        <f>IF(AB18="","",IF(MONTH(AB18+1)&lt;&gt;MONTH(AB18),"",AB18+1))</f>
        <v/>
      </c>
      <c r="AD18" s="36">
        <f>IF(AC18="","",IF(MONTH(AC18+1)&lt;&gt;MONTH(AC18),"",AC18+1))</f>
        <v/>
      </c>
      <c r="AE18" s="36">
        <f>IF(AD18="","",IF(MONTH(AD18+1)&lt;&gt;MONTH(AD18),"",AD18+1))</f>
        <v/>
      </c>
      <c r="AF18" s="36">
        <f>IF(AE18="","",IF(MONTH(AE18+1)&lt;&gt;MONTH(AE18),"",AE18+1))</f>
        <v/>
      </c>
      <c r="AG18" s="68" t="n"/>
    </row>
    <row r="19" ht="18" customHeight="1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</row>
    <row r="20" ht="22.5" customFormat="1" customHeight="1" s="66">
      <c r="A20" s="71" t="n"/>
      <c r="B20" s="65">
        <f>DATE(YEAR(Z11+42),MONTH(Z11+42),1)</f>
        <v/>
      </c>
      <c r="G20" s="63">
        <f>D3</f>
        <v/>
      </c>
      <c r="H20" s="64" t="n"/>
      <c r="I20" s="7" t="n"/>
      <c r="J20" s="65">
        <f>DATE(YEAR(B20+42),MONTH(B20+42),1)</f>
        <v/>
      </c>
      <c r="O20" s="63">
        <f>D3</f>
        <v/>
      </c>
      <c r="P20" s="64" t="n"/>
      <c r="Q20" s="7" t="n"/>
      <c r="R20" s="65">
        <f>DATE(YEAR(J20+42),MONTH(J20+42),1)</f>
        <v/>
      </c>
      <c r="W20" s="63">
        <f>D3</f>
        <v/>
      </c>
      <c r="X20" s="64" t="n"/>
      <c r="Y20" s="7" t="n"/>
      <c r="Z20" s="65">
        <f>DATE(YEAR(R20+42),MONTH(R20+42),1)</f>
        <v/>
      </c>
      <c r="AE20" s="63">
        <f>D3</f>
        <v/>
      </c>
      <c r="AF20" s="64" t="n"/>
      <c r="AG20" s="10" t="n"/>
      <c r="AI20" s="15" t="n"/>
    </row>
    <row r="21" ht="18" customFormat="1" customHeight="1" s="68">
      <c r="A21" s="7" t="n"/>
      <c r="B21" s="38">
        <f>CHOOSE(1+MOD($R$3+1-2,7),"Su","M","Tu","W","Th","F","Sa")</f>
        <v/>
      </c>
      <c r="C21" s="39">
        <f>CHOOSE(1+MOD($R$3+2-2,7),"Su","M","Tu","W","Th","F","Sa")</f>
        <v/>
      </c>
      <c r="D21" s="39">
        <f>CHOOSE(1+MOD($R$3+3-2,7),"Su","M","Tu","W","Th","F","Sa")</f>
        <v/>
      </c>
      <c r="E21" s="39">
        <f>CHOOSE(1+MOD($R$3+4-2,7),"Su","M","Tu","W","Th","F","Sa")</f>
        <v/>
      </c>
      <c r="F21" s="39">
        <f>CHOOSE(1+MOD($R$3+5-2,7),"Su","M","Tu","W","Th","F","Sa")</f>
        <v/>
      </c>
      <c r="G21" s="39">
        <f>CHOOSE(1+MOD($R$3+6-2,7),"Su","M","Tu","W","Th","F","Sa")</f>
        <v/>
      </c>
      <c r="H21" s="40">
        <f>CHOOSE(1+MOD($R$3+7-2,7),"Su","M","Tu","W","Th","F","Sa")</f>
        <v/>
      </c>
      <c r="I21" s="7" t="n"/>
      <c r="J21" s="38">
        <f>CHOOSE(1+MOD($R$3+1-2,7),"Su","M","Tu","W","Th","F","Sa")</f>
        <v/>
      </c>
      <c r="K21" s="39">
        <f>CHOOSE(1+MOD($R$3+2-2,7),"Su","M","Tu","W","Th","F","Sa")</f>
        <v/>
      </c>
      <c r="L21" s="39">
        <f>CHOOSE(1+MOD($R$3+3-2,7),"Su","M","Tu","W","Th","F","Sa")</f>
        <v/>
      </c>
      <c r="M21" s="39">
        <f>CHOOSE(1+MOD($R$3+4-2,7),"Su","M","Tu","W","Th","F","Sa")</f>
        <v/>
      </c>
      <c r="N21" s="39">
        <f>CHOOSE(1+MOD($R$3+5-2,7),"Su","M","Tu","W","Th","F","Sa")</f>
        <v/>
      </c>
      <c r="O21" s="39">
        <f>CHOOSE(1+MOD($R$3+6-2,7),"Su","M","Tu","W","Th","F","Sa")</f>
        <v/>
      </c>
      <c r="P21" s="40">
        <f>CHOOSE(1+MOD($R$3+7-2,7),"Su","M","Tu","W","Th","F","Sa")</f>
        <v/>
      </c>
      <c r="Q21" s="7" t="n"/>
      <c r="R21" s="38">
        <f>CHOOSE(1+MOD($R$3+1-2,7),"Su","M","Tu","W","Th","F","Sa")</f>
        <v/>
      </c>
      <c r="S21" s="39">
        <f>CHOOSE(1+MOD($R$3+2-2,7),"Su","M","Tu","W","Th","F","Sa")</f>
        <v/>
      </c>
      <c r="T21" s="39">
        <f>CHOOSE(1+MOD($R$3+3-2,7),"Su","M","Tu","W","Th","F","Sa")</f>
        <v/>
      </c>
      <c r="U21" s="39">
        <f>CHOOSE(1+MOD($R$3+4-2,7),"Su","M","Tu","W","Th","F","Sa")</f>
        <v/>
      </c>
      <c r="V21" s="39">
        <f>CHOOSE(1+MOD($R$3+5-2,7),"Su","M","Tu","W","Th","F","Sa")</f>
        <v/>
      </c>
      <c r="W21" s="39">
        <f>CHOOSE(1+MOD($R$3+6-2,7),"Su","M","Tu","W","Th","F","Sa")</f>
        <v/>
      </c>
      <c r="X21" s="40">
        <f>CHOOSE(1+MOD($R$3+7-2,7),"Su","M","Tu","W","Th","F","Sa")</f>
        <v/>
      </c>
      <c r="Y21" s="7" t="n"/>
      <c r="Z21" s="38">
        <f>CHOOSE(1+MOD($R$3+1-2,7),"Su","M","Tu","W","Th","F","Sa")</f>
        <v/>
      </c>
      <c r="AA21" s="39">
        <f>CHOOSE(1+MOD($R$3+2-2,7),"Su","M","Tu","W","Th","F","Sa")</f>
        <v/>
      </c>
      <c r="AB21" s="39">
        <f>CHOOSE(1+MOD($R$3+3-2,7),"Su","M","Tu","W","Th","F","Sa")</f>
        <v/>
      </c>
      <c r="AC21" s="39">
        <f>CHOOSE(1+MOD($R$3+4-2,7),"Su","M","Tu","W","Th","F","Sa")</f>
        <v/>
      </c>
      <c r="AD21" s="39">
        <f>CHOOSE(1+MOD($R$3+5-2,7),"Su","M","Tu","W","Th","F","Sa")</f>
        <v/>
      </c>
      <c r="AE21" s="39">
        <f>CHOOSE(1+MOD($R$3+6-2,7),"Su","M","Tu","W","Th","F","Sa")</f>
        <v/>
      </c>
      <c r="AF21" s="40">
        <f>CHOOSE(1+MOD($R$3+7-2,7),"Su","M","Tu","W","Th","F","Sa")</f>
        <v/>
      </c>
      <c r="AI21" s="16" t="n"/>
    </row>
    <row r="22" ht="18" customFormat="1" customHeight="1" s="69">
      <c r="A22" s="7" t="n"/>
      <c r="B22" s="36">
        <f>IF(WEEKDAY(B20,1)=$R$3,B20,"")</f>
        <v/>
      </c>
      <c r="C22" s="36">
        <f>IF(B22="",IF(WEEKDAY(B20,1)=MOD($R$3,7)+1,B20,""),B22+1)</f>
        <v/>
      </c>
      <c r="D22" s="36">
        <f>IF(C22="",IF(WEEKDAY(B20,1)=MOD($R$3+1,7)+1,B20,""),C22+1)</f>
        <v/>
      </c>
      <c r="E22" s="36">
        <f>IF(D22="",IF(WEEKDAY(B20,1)=MOD($R$3+2,7)+1,B20,""),D22+1)</f>
        <v/>
      </c>
      <c r="F22" s="36">
        <f>IF(E22="",IF(WEEKDAY(B20,1)=MOD($R$3+3,7)+1,B20,""),E22+1)</f>
        <v/>
      </c>
      <c r="G22" s="36">
        <f>IF(F22="",IF(WEEKDAY(B20,1)=MOD($R$3+4,7)+1,B20,""),F22+1)</f>
        <v/>
      </c>
      <c r="H22" s="36">
        <f>IF(G22="",IF(WEEKDAY(B20,1)=MOD($R$3+5,7)+1,B20,""),G22+1)</f>
        <v/>
      </c>
      <c r="I22" s="7" t="n">
        <v>2</v>
      </c>
      <c r="J22" s="36">
        <f>IF(WEEKDAY(J20,1)=$R$3,J20,"")</f>
        <v/>
      </c>
      <c r="K22" s="36">
        <f>IF(J22="",IF(WEEKDAY(J20,1)=MOD($R$3,7)+1,J20,""),J22+1)</f>
        <v/>
      </c>
      <c r="L22" s="59">
        <f>IF(K22="",IF(WEEKDAY(J20,1)=MOD($R$3+1,7)+1,J20,""),K22+1)</f>
        <v/>
      </c>
      <c r="M22" s="59">
        <f>IF(L22="",IF(WEEKDAY(J20,1)=MOD($R$3+2,7)+1,J20,""),L22+1)</f>
        <v/>
      </c>
      <c r="N22" s="59">
        <f>IF(M22="",IF(WEEKDAY(J20,1)=MOD($R$3+3,7)+1,J20,""),M22+1)</f>
        <v/>
      </c>
      <c r="O22" s="59">
        <f>IF(N22="",IF(WEEKDAY(J20,1)=MOD($R$3+4,7)+1,J20,""),N22+1)</f>
        <v/>
      </c>
      <c r="P22" s="36">
        <f>IF(O22="",IF(WEEKDAY(J20,1)=MOD($R$3+5,7)+1,J20,""),O22+1)</f>
        <v/>
      </c>
      <c r="Q22" s="7" t="n"/>
      <c r="R22" s="36">
        <f>IF(WEEKDAY(R20,1)=$R$3,R20,"")</f>
        <v/>
      </c>
      <c r="S22" s="36">
        <f>IF(R22="",IF(WEEKDAY(R20,1)=MOD($R$3,7)+1,R20,""),R22+1)</f>
        <v/>
      </c>
      <c r="T22" s="36">
        <f>IF(S22="",IF(WEEKDAY(R20,1)=MOD($R$3+1,7)+1,R20,""),S22+1)</f>
        <v/>
      </c>
      <c r="U22" s="36">
        <f>IF(T22="",IF(WEEKDAY(R20,1)=MOD($R$3+2,7)+1,R20,""),T22+1)</f>
        <v/>
      </c>
      <c r="V22" s="36">
        <f>IF(U22="",IF(WEEKDAY(R20,1)=MOD($R$3+3,7)+1,R20,""),U22+1)</f>
        <v/>
      </c>
      <c r="W22" s="36">
        <f>IF(V22="",IF(WEEKDAY(R20,1)=MOD($R$3+4,7)+1,R20,""),V22+1)</f>
        <v/>
      </c>
      <c r="X22" s="36">
        <f>IF(W22="",IF(WEEKDAY(R20,1)=MOD($R$3+5,7)+1,R20,""),W22+1)</f>
        <v/>
      </c>
      <c r="Y22" s="7" t="n"/>
      <c r="Z22" s="36">
        <f>IF(WEEKDAY(Z20,1)=$R$3,Z20,"")</f>
        <v/>
      </c>
      <c r="AA22" s="36">
        <f>IF(Z22="",IF(WEEKDAY(Z20,1)=MOD($R$3,7)+1,Z20,""),Z22+1)</f>
        <v/>
      </c>
      <c r="AB22" s="36">
        <f>IF(AA22="",IF(WEEKDAY(Z20,1)=MOD($R$3+1,7)+1,Z20,""),AA22+1)</f>
        <v/>
      </c>
      <c r="AC22" s="36">
        <f>IF(AB22="",IF(WEEKDAY(Z20,1)=MOD($R$3+2,7)+1,Z20,""),AB22+1)</f>
        <v/>
      </c>
      <c r="AD22" s="36">
        <f>IF(AC22="",IF(WEEKDAY(Z20,1)=MOD($R$3+3,7)+1,Z20,""),AC22+1)</f>
        <v/>
      </c>
      <c r="AE22" s="36">
        <f>IF(AD22="",IF(WEEKDAY(Z20,1)=MOD($R$3+4,7)+1,Z20,""),AD22+1)</f>
        <v/>
      </c>
      <c r="AF22" s="36">
        <f>IF(AE22="",IF(WEEKDAY(Z20,1)=MOD($R$3+5,7)+1,Z20,""),AE22+1)</f>
        <v/>
      </c>
      <c r="AG22" s="68" t="n"/>
      <c r="AI22" s="16" t="n"/>
    </row>
    <row r="23" ht="18" customFormat="1" customHeight="1" s="69">
      <c r="A23" s="7" t="n">
        <v>22</v>
      </c>
      <c r="B23" s="36">
        <f>IF(H22="","",IF(MONTH(H22+1)&lt;&gt;MONTH(H22),"",H22+1))</f>
        <v/>
      </c>
      <c r="C23" s="58">
        <f>IF(B23="","",IF(MONTH(B23+1)&lt;&gt;MONTH(B23),"",B23+1))</f>
        <v/>
      </c>
      <c r="D23" s="58">
        <f>IF(C23="","",IF(MONTH(C23+1)&lt;&gt;MONTH(C23),"",C23+1))</f>
        <v/>
      </c>
      <c r="E23" s="58">
        <f>IF(D23="","",IF(MONTH(D23+1)&lt;&gt;MONTH(D23),"",D23+1))</f>
        <v/>
      </c>
      <c r="F23" s="58">
        <f>IF(E23="","",IF(MONTH(E23+1)&lt;&gt;MONTH(E23),"",E23+1))</f>
        <v/>
      </c>
      <c r="G23" s="58">
        <f>IF(F23="","",IF(MONTH(F23+1)&lt;&gt;MONTH(F23),"",F23+1))</f>
        <v/>
      </c>
      <c r="H23" s="36">
        <f>IF(G23="","",IF(MONTH(G23+1)&lt;&gt;MONTH(G23),"",G23+1))</f>
        <v/>
      </c>
      <c r="I23" s="7" t="n">
        <v>3</v>
      </c>
      <c r="J23" s="36">
        <f>IF(P22="","",IF(MONTH(P22+1)&lt;&gt;MONTH(P22),"",P22+1))</f>
        <v/>
      </c>
      <c r="K23" s="85">
        <f>IF(J23="","",IF(MONTH(J23+1)&lt;&gt;MONTH(J23),"",J23+1))</f>
        <v/>
      </c>
      <c r="L23" s="85">
        <f>IF(K23="","",IF(MONTH(K23+1)&lt;&gt;MONTH(K23),"",K23+1))</f>
        <v/>
      </c>
      <c r="M23" s="85">
        <f>IF(L23="","",IF(MONTH(L23+1)&lt;&gt;MONTH(L23),"",L23+1))</f>
        <v/>
      </c>
      <c r="N23" s="85">
        <f>IF(M23="","",IF(MONTH(M23+1)&lt;&gt;MONTH(M23),"",M23+1))</f>
        <v/>
      </c>
      <c r="O23" s="86">
        <f>IF(N23="","",IF(MONTH(N23+1)&lt;&gt;MONTH(N23),"",N23+1))</f>
        <v/>
      </c>
      <c r="P23" s="36">
        <f>IF(O23="","",IF(MONTH(O23+1)&lt;&gt;MONTH(O23),"",O23+1))</f>
        <v/>
      </c>
      <c r="Q23" s="7" t="n"/>
      <c r="R23" s="36">
        <f>IF(X22="","",IF(MONTH(X22+1)&lt;&gt;MONTH(X22),"",X22+1))</f>
        <v/>
      </c>
      <c r="S23" s="36">
        <f>IF(R23="","",IF(MONTH(R23+1)&lt;&gt;MONTH(R23),"",R23+1))</f>
        <v/>
      </c>
      <c r="T23" s="36">
        <f>IF(S23="","",IF(MONTH(S23+1)&lt;&gt;MONTH(S23),"",S23+1))</f>
        <v/>
      </c>
      <c r="U23" s="36">
        <f>IF(T23="","",IF(MONTH(T23+1)&lt;&gt;MONTH(T23),"",T23+1))</f>
        <v/>
      </c>
      <c r="V23" s="36">
        <f>IF(U23="","",IF(MONTH(U23+1)&lt;&gt;MONTH(U23),"",U23+1))</f>
        <v/>
      </c>
      <c r="W23" s="36">
        <f>IF(V23="","",IF(MONTH(V23+1)&lt;&gt;MONTH(V23),"",V23+1))</f>
        <v/>
      </c>
      <c r="X23" s="36">
        <f>IF(W23="","",IF(MONTH(W23+1)&lt;&gt;MONTH(W23),"",W23+1))</f>
        <v/>
      </c>
      <c r="Y23" s="7" t="n"/>
      <c r="Z23" s="36">
        <f>IF(AF22="","",IF(MONTH(AF22+1)&lt;&gt;MONTH(AF22),"",AF22+1))</f>
        <v/>
      </c>
      <c r="AA23" s="36">
        <f>IF(Z23="","",IF(MONTH(Z23+1)&lt;&gt;MONTH(Z23),"",Z23+1))</f>
        <v/>
      </c>
      <c r="AB23" s="36">
        <f>IF(AA23="","",IF(MONTH(AA23+1)&lt;&gt;MONTH(AA23),"",AA23+1))</f>
        <v/>
      </c>
      <c r="AC23" s="36">
        <f>IF(AB23="","",IF(MONTH(AB23+1)&lt;&gt;MONTH(AB23),"",AB23+1))</f>
        <v/>
      </c>
      <c r="AD23" s="36">
        <f>IF(AC23="","",IF(MONTH(AC23+1)&lt;&gt;MONTH(AC23),"",AC23+1))</f>
        <v/>
      </c>
      <c r="AE23" s="36">
        <f>IF(AD23="","",IF(MONTH(AD23+1)&lt;&gt;MONTH(AD23),"",AD23+1))</f>
        <v/>
      </c>
      <c r="AF23" s="36">
        <f>IF(AE23="","",IF(MONTH(AE23+1)&lt;&gt;MONTH(AE23),"",AE23+1))</f>
        <v/>
      </c>
      <c r="AG23" s="68" t="n"/>
      <c r="AI23" s="16" t="n"/>
    </row>
    <row r="24" ht="18" customFormat="1" customHeight="1" s="69">
      <c r="A24" s="7" t="n">
        <v>23</v>
      </c>
      <c r="B24" s="36">
        <f>IF(H23="","",IF(MONTH(H23+1)&lt;&gt;MONTH(H23),"",H23+1))</f>
        <v/>
      </c>
      <c r="C24" s="58">
        <f>IF(B24="","",IF(MONTH(B24+1)&lt;&gt;MONTH(B24),"",B24+1))</f>
        <v/>
      </c>
      <c r="D24" s="58">
        <f>IF(C24="","",IF(MONTH(C24+1)&lt;&gt;MONTH(C24),"",C24+1))</f>
        <v/>
      </c>
      <c r="E24" s="58">
        <f>IF(D24="","",IF(MONTH(D24+1)&lt;&gt;MONTH(D24),"",D24+1))</f>
        <v/>
      </c>
      <c r="F24" s="58">
        <f>IF(E24="","",IF(MONTH(E24+1)&lt;&gt;MONTH(E24),"",E24+1))</f>
        <v/>
      </c>
      <c r="G24" s="58">
        <f>IF(F24="","",IF(MONTH(F24+1)&lt;&gt;MONTH(F24),"",F24+1))</f>
        <v/>
      </c>
      <c r="H24" s="36">
        <f>IF(G24="","",IF(MONTH(G24+1)&lt;&gt;MONTH(G24),"",G24+1))</f>
        <v/>
      </c>
      <c r="I24" s="7" t="n">
        <v>4</v>
      </c>
      <c r="J24" s="36">
        <f>IF(P23="","",IF(MONTH(P23+1)&lt;&gt;MONTH(P23),"",P23+1))</f>
        <v/>
      </c>
      <c r="K24" s="85">
        <f>IF(J24="","",IF(MONTH(J24+1)&lt;&gt;MONTH(J24),"",J24+1))</f>
        <v/>
      </c>
      <c r="L24" s="85">
        <f>IF(K24="","",IF(MONTH(K24+1)&lt;&gt;MONTH(K24),"",K24+1))</f>
        <v/>
      </c>
      <c r="M24" s="85">
        <f>IF(L24="","",IF(MONTH(L24+1)&lt;&gt;MONTH(L24),"",L24+1))</f>
        <v/>
      </c>
      <c r="N24" s="85">
        <f>IF(M24="","",IF(MONTH(M24+1)&lt;&gt;MONTH(M24),"",M24+1))</f>
        <v/>
      </c>
      <c r="O24" s="88">
        <f>IF(N24="","",IF(MONTH(N24+1)&lt;&gt;MONTH(N24),"",N24+1))</f>
        <v/>
      </c>
      <c r="P24" s="36">
        <f>IF(O24="","",IF(MONTH(O24+1)&lt;&gt;MONTH(O24),"",O24+1))</f>
        <v/>
      </c>
      <c r="Q24" s="7" t="n"/>
      <c r="R24" s="36">
        <f>IF(X23="","",IF(MONTH(X23+1)&lt;&gt;MONTH(X23),"",X23+1))</f>
        <v/>
      </c>
      <c r="S24" s="36">
        <f>IF(R24="","",IF(MONTH(R24+1)&lt;&gt;MONTH(R24),"",R24+1))</f>
        <v/>
      </c>
      <c r="T24" s="36">
        <f>IF(S24="","",IF(MONTH(S24+1)&lt;&gt;MONTH(S24),"",S24+1))</f>
        <v/>
      </c>
      <c r="U24" s="36">
        <f>IF(T24="","",IF(MONTH(T24+1)&lt;&gt;MONTH(T24),"",T24+1))</f>
        <v/>
      </c>
      <c r="V24" s="36">
        <f>IF(U24="","",IF(MONTH(U24+1)&lt;&gt;MONTH(U24),"",U24+1))</f>
        <v/>
      </c>
      <c r="W24" s="36">
        <f>IF(V24="","",IF(MONTH(V24+1)&lt;&gt;MONTH(V24),"",V24+1))</f>
        <v/>
      </c>
      <c r="X24" s="36">
        <f>IF(W24="","",IF(MONTH(W24+1)&lt;&gt;MONTH(W24),"",W24+1))</f>
        <v/>
      </c>
      <c r="Y24" s="7" t="n"/>
      <c r="Z24" s="36">
        <f>IF(AF23="","",IF(MONTH(AF23+1)&lt;&gt;MONTH(AF23),"",AF23+1))</f>
        <v/>
      </c>
      <c r="AA24" s="36">
        <f>IF(Z24="","",IF(MONTH(Z24+1)&lt;&gt;MONTH(Z24),"",Z24+1))</f>
        <v/>
      </c>
      <c r="AB24" s="36">
        <f>IF(AA24="","",IF(MONTH(AA24+1)&lt;&gt;MONTH(AA24),"",AA24+1))</f>
        <v/>
      </c>
      <c r="AC24" s="36">
        <f>IF(AB24="","",IF(MONTH(AB24+1)&lt;&gt;MONTH(AB24),"",AB24+1))</f>
        <v/>
      </c>
      <c r="AD24" s="36">
        <f>IF(AC24="","",IF(MONTH(AC24+1)&lt;&gt;MONTH(AC24),"",AC24+1))</f>
        <v/>
      </c>
      <c r="AE24" s="36">
        <f>IF(AD24="","",IF(MONTH(AD24+1)&lt;&gt;MONTH(AD24),"",AD24+1))</f>
        <v/>
      </c>
      <c r="AF24" s="36">
        <f>IF(AE24="","",IF(MONTH(AE24+1)&lt;&gt;MONTH(AE24),"",AE24+1))</f>
        <v/>
      </c>
      <c r="AG24" s="68" t="n"/>
    </row>
    <row r="25" ht="18" customFormat="1" customHeight="1" s="69">
      <c r="A25" s="7" t="n">
        <v>24</v>
      </c>
      <c r="B25" s="36">
        <f>IF(H24="","",IF(MONTH(H24+1)&lt;&gt;MONTH(H24),"",H24+1))</f>
        <v/>
      </c>
      <c r="C25" s="87">
        <f>IF(B25="","",IF(MONTH(B25+1)&lt;&gt;MONTH(B25),"",B25+1))</f>
        <v/>
      </c>
      <c r="D25" s="87">
        <f>IF(C25="","",IF(MONTH(C25+1)&lt;&gt;MONTH(C25),"",C25+1))</f>
        <v/>
      </c>
      <c r="E25" s="87">
        <f>IF(D25="","",IF(MONTH(D25+1)&lt;&gt;MONTH(D25),"",D25+1))</f>
        <v/>
      </c>
      <c r="F25" s="87">
        <f>IF(E25="","",IF(MONTH(E25+1)&lt;&gt;MONTH(E25),"",E25+1))</f>
        <v/>
      </c>
      <c r="G25" s="87">
        <f>IF(F25="","",IF(MONTH(F25+1)&lt;&gt;MONTH(F25),"",F25+1))</f>
        <v/>
      </c>
      <c r="H25" s="36">
        <f>IF(G25="","",IF(MONTH(G25+1)&lt;&gt;MONTH(G25),"",G25+1))</f>
        <v/>
      </c>
      <c r="I25" s="7" t="n"/>
      <c r="J25" s="36">
        <f>IF(P24="","",IF(MONTH(P24+1)&lt;&gt;MONTH(P24),"",P24+1))</f>
        <v/>
      </c>
      <c r="K25" s="36">
        <f>IF(J25="","",IF(MONTH(J25+1)&lt;&gt;MONTH(J25),"",J25+1))</f>
        <v/>
      </c>
      <c r="L25" s="36">
        <f>IF(K25="","",IF(MONTH(K25+1)&lt;&gt;MONTH(K25),"",K25+1))</f>
        <v/>
      </c>
      <c r="M25" s="36">
        <f>IF(L25="","",IF(MONTH(L25+1)&lt;&gt;MONTH(L25),"",L25+1))</f>
        <v/>
      </c>
      <c r="N25" s="36">
        <f>IF(M25="","",IF(MONTH(M25+1)&lt;&gt;MONTH(M25),"",M25+1))</f>
        <v/>
      </c>
      <c r="O25" s="36">
        <f>IF(N25="","",IF(MONTH(N25+1)&lt;&gt;MONTH(N25),"",N25+1))</f>
        <v/>
      </c>
      <c r="P25" s="36">
        <f>IF(O25="","",IF(MONTH(O25+1)&lt;&gt;MONTH(O25),"",O25+1))</f>
        <v/>
      </c>
      <c r="Q25" s="7" t="n"/>
      <c r="R25" s="36">
        <f>IF(X24="","",IF(MONTH(X24+1)&lt;&gt;MONTH(X24),"",X24+1))</f>
        <v/>
      </c>
      <c r="S25" s="36">
        <f>IF(R25="","",IF(MONTH(R25+1)&lt;&gt;MONTH(R25),"",R25+1))</f>
        <v/>
      </c>
      <c r="T25" s="36">
        <f>IF(S25="","",IF(MONTH(S25+1)&lt;&gt;MONTH(S25),"",S25+1))</f>
        <v/>
      </c>
      <c r="U25" s="36">
        <f>IF(T25="","",IF(MONTH(T25+1)&lt;&gt;MONTH(T25),"",T25+1))</f>
        <v/>
      </c>
      <c r="V25" s="36">
        <f>IF(U25="","",IF(MONTH(U25+1)&lt;&gt;MONTH(U25),"",U25+1))</f>
        <v/>
      </c>
      <c r="W25" s="36">
        <f>IF(V25="","",IF(MONTH(V25+1)&lt;&gt;MONTH(V25),"",V25+1))</f>
        <v/>
      </c>
      <c r="X25" s="36">
        <f>IF(W25="","",IF(MONTH(W25+1)&lt;&gt;MONTH(W25),"",W25+1))</f>
        <v/>
      </c>
      <c r="Y25" s="7" t="n"/>
      <c r="Z25" s="36">
        <f>IF(AF24="","",IF(MONTH(AF24+1)&lt;&gt;MONTH(AF24),"",AF24+1))</f>
        <v/>
      </c>
      <c r="AA25" s="36">
        <f>IF(Z25="","",IF(MONTH(Z25+1)&lt;&gt;MONTH(Z25),"",Z25+1))</f>
        <v/>
      </c>
      <c r="AB25" s="36">
        <f>IF(AA25="","",IF(MONTH(AA25+1)&lt;&gt;MONTH(AA25),"",AA25+1))</f>
        <v/>
      </c>
      <c r="AC25" s="36">
        <f>IF(AB25="","",IF(MONTH(AB25+1)&lt;&gt;MONTH(AB25),"",AB25+1))</f>
        <v/>
      </c>
      <c r="AD25" s="36">
        <f>IF(AC25="","",IF(MONTH(AC25+1)&lt;&gt;MONTH(AC25),"",AC25+1))</f>
        <v/>
      </c>
      <c r="AE25" s="36">
        <f>IF(AD25="","",IF(MONTH(AD25+1)&lt;&gt;MONTH(AD25),"",AD25+1))</f>
        <v/>
      </c>
      <c r="AF25" s="36">
        <f>IF(AE25="","",IF(MONTH(AE25+1)&lt;&gt;MONTH(AE25),"",AE25+1))</f>
        <v/>
      </c>
      <c r="AG25" s="68" t="n"/>
    </row>
    <row r="26" ht="18" customFormat="1" customHeight="1" s="69">
      <c r="A26" s="7" t="n">
        <v>1</v>
      </c>
      <c r="B26" s="36">
        <f>IF(H25="","",IF(MONTH(H25+1)&lt;&gt;MONTH(H25),"",H25+1))</f>
        <v/>
      </c>
      <c r="C26" s="59">
        <f>IF(B26="","",IF(MONTH(B26+1)&lt;&gt;MONTH(B26),"",B26+1))</f>
        <v/>
      </c>
      <c r="D26" s="59">
        <f>IF(C26="","",IF(MONTH(C26+1)&lt;&gt;MONTH(C26),"",C26+1))</f>
        <v/>
      </c>
      <c r="E26" s="59">
        <f>IF(D26="","",IF(MONTH(D26+1)&lt;&gt;MONTH(D26),"",D26+1))</f>
        <v/>
      </c>
      <c r="F26" s="59">
        <f>IF(E26="","",IF(MONTH(E26+1)&lt;&gt;MONTH(E26),"",E26+1))</f>
        <v/>
      </c>
      <c r="G26" s="59">
        <f>IF(F26="","",IF(MONTH(F26+1)&lt;&gt;MONTH(F26),"",F26+1))</f>
        <v/>
      </c>
      <c r="H26" s="36">
        <f>IF(G26="","",IF(MONTH(G26+1)&lt;&gt;MONTH(G26),"",G26+1))</f>
        <v/>
      </c>
      <c r="I26" s="7" t="n"/>
      <c r="J26" s="36">
        <f>IF(P25="","",IF(MONTH(P25+1)&lt;&gt;MONTH(P25),"",P25+1))</f>
        <v/>
      </c>
      <c r="K26" s="36">
        <f>IF(J26="","",IF(MONTH(J26+1)&lt;&gt;MONTH(J26),"",J26+1))</f>
        <v/>
      </c>
      <c r="L26" s="36">
        <f>IF(K26="","",IF(MONTH(K26+1)&lt;&gt;MONTH(K26),"",K26+1))</f>
        <v/>
      </c>
      <c r="M26" s="36">
        <f>IF(L26="","",IF(MONTH(L26+1)&lt;&gt;MONTH(L26),"",L26+1))</f>
        <v/>
      </c>
      <c r="N26" s="36">
        <f>IF(M26="","",IF(MONTH(M26+1)&lt;&gt;MONTH(M26),"",M26+1))</f>
        <v/>
      </c>
      <c r="O26" s="36">
        <f>IF(N26="","",IF(MONTH(N26+1)&lt;&gt;MONTH(N26),"",N26+1))</f>
        <v/>
      </c>
      <c r="P26" s="36">
        <f>IF(O26="","",IF(MONTH(O26+1)&lt;&gt;MONTH(O26),"",O26+1))</f>
        <v/>
      </c>
      <c r="Q26" s="7" t="n"/>
      <c r="R26" s="36">
        <f>IF(X25="","",IF(MONTH(X25+1)&lt;&gt;MONTH(X25),"",X25+1))</f>
        <v/>
      </c>
      <c r="S26" s="36">
        <f>IF(R26="","",IF(MONTH(R26+1)&lt;&gt;MONTH(R26),"",R26+1))</f>
        <v/>
      </c>
      <c r="T26" s="36">
        <f>IF(S26="","",IF(MONTH(S26+1)&lt;&gt;MONTH(S26),"",S26+1))</f>
        <v/>
      </c>
      <c r="U26" s="36">
        <f>IF(T26="","",IF(MONTH(T26+1)&lt;&gt;MONTH(T26),"",T26+1))</f>
        <v/>
      </c>
      <c r="V26" s="36">
        <f>IF(U26="","",IF(MONTH(U26+1)&lt;&gt;MONTH(U26),"",U26+1))</f>
        <v/>
      </c>
      <c r="W26" s="36">
        <f>IF(V26="","",IF(MONTH(V26+1)&lt;&gt;MONTH(V26),"",V26+1))</f>
        <v/>
      </c>
      <c r="X26" s="36">
        <f>IF(W26="","",IF(MONTH(W26+1)&lt;&gt;MONTH(W26),"",W26+1))</f>
        <v/>
      </c>
      <c r="Y26" s="7" t="n"/>
      <c r="Z26" s="36">
        <f>IF(AF25="","",IF(MONTH(AF25+1)&lt;&gt;MONTH(AF25),"",AF25+1))</f>
        <v/>
      </c>
      <c r="AA26" s="36">
        <f>IF(Z26="","",IF(MONTH(Z26+1)&lt;&gt;MONTH(Z26),"",Z26+1))</f>
        <v/>
      </c>
      <c r="AB26" s="36">
        <f>IF(AA26="","",IF(MONTH(AA26+1)&lt;&gt;MONTH(AA26),"",AA26+1))</f>
        <v/>
      </c>
      <c r="AC26" s="36">
        <f>IF(AB26="","",IF(MONTH(AB26+1)&lt;&gt;MONTH(AB26),"",AB26+1))</f>
        <v/>
      </c>
      <c r="AD26" s="36">
        <f>IF(AC26="","",IF(MONTH(AC26+1)&lt;&gt;MONTH(AC26),"",AC26+1))</f>
        <v/>
      </c>
      <c r="AE26" s="36">
        <f>IF(AD26="","",IF(MONTH(AD26+1)&lt;&gt;MONTH(AD26),"",AD26+1))</f>
        <v/>
      </c>
      <c r="AF26" s="36">
        <f>IF(AE26="","",IF(MONTH(AE26+1)&lt;&gt;MONTH(AE26),"",AE26+1))</f>
        <v/>
      </c>
      <c r="AG26" s="68" t="n"/>
    </row>
    <row r="27" ht="18" customFormat="1" customHeight="1" s="69">
      <c r="A27" s="7" t="n"/>
      <c r="B27" s="36">
        <f>IF(H26="","",IF(MONTH(H26+1)&lt;&gt;MONTH(H26),"",H26+1))</f>
        <v/>
      </c>
      <c r="C27" s="37">
        <f>IF(B27="","",IF(MONTH(B27+1)&lt;&gt;MONTH(B27),"",B27+1))</f>
        <v/>
      </c>
      <c r="D27" s="36">
        <f>IF(C27="","",IF(MONTH(C27+1)&lt;&gt;MONTH(C27),"",C27+1))</f>
        <v/>
      </c>
      <c r="E27" s="36">
        <f>IF(D27="","",IF(MONTH(D27+1)&lt;&gt;MONTH(D27),"",D27+1))</f>
        <v/>
      </c>
      <c r="F27" s="36">
        <f>IF(E27="","",IF(MONTH(E27+1)&lt;&gt;MONTH(E27),"",E27+1))</f>
        <v/>
      </c>
      <c r="G27" s="36">
        <f>IF(F27="","",IF(MONTH(F27+1)&lt;&gt;MONTH(F27),"",F27+1))</f>
        <v/>
      </c>
      <c r="H27" s="36">
        <f>IF(G27="","",IF(MONTH(G27+1)&lt;&gt;MONTH(G27),"",G27+1))</f>
        <v/>
      </c>
      <c r="I27" s="7" t="n"/>
      <c r="J27" s="36">
        <f>IF(P26="","",IF(MONTH(P26+1)&lt;&gt;MONTH(P26),"",P26+1))</f>
        <v/>
      </c>
      <c r="K27" s="36">
        <f>IF(J27="","",IF(MONTH(J27+1)&lt;&gt;MONTH(J27),"",J27+1))</f>
        <v/>
      </c>
      <c r="L27" s="36">
        <f>IF(K27="","",IF(MONTH(K27+1)&lt;&gt;MONTH(K27),"",K27+1))</f>
        <v/>
      </c>
      <c r="M27" s="36">
        <f>IF(L27="","",IF(MONTH(L27+1)&lt;&gt;MONTH(L27),"",L27+1))</f>
        <v/>
      </c>
      <c r="N27" s="36">
        <f>IF(M27="","",IF(MONTH(M27+1)&lt;&gt;MONTH(M27),"",M27+1))</f>
        <v/>
      </c>
      <c r="O27" s="36">
        <f>IF(N27="","",IF(MONTH(N27+1)&lt;&gt;MONTH(N27),"",N27+1))</f>
        <v/>
      </c>
      <c r="P27" s="36">
        <f>IF(O27="","",IF(MONTH(O27+1)&lt;&gt;MONTH(O27),"",O27+1))</f>
        <v/>
      </c>
      <c r="Q27" s="7" t="n"/>
      <c r="R27" s="36">
        <f>IF(X26="","",IF(MONTH(X26+1)&lt;&gt;MONTH(X26),"",X26+1))</f>
        <v/>
      </c>
      <c r="S27" s="36">
        <f>IF(R27="","",IF(MONTH(R27+1)&lt;&gt;MONTH(R27),"",R27+1))</f>
        <v/>
      </c>
      <c r="T27" s="36">
        <f>IF(S27="","",IF(MONTH(S27+1)&lt;&gt;MONTH(S27),"",S27+1))</f>
        <v/>
      </c>
      <c r="U27" s="36">
        <f>IF(T27="","",IF(MONTH(T27+1)&lt;&gt;MONTH(T27),"",T27+1))</f>
        <v/>
      </c>
      <c r="V27" s="36">
        <f>IF(U27="","",IF(MONTH(U27+1)&lt;&gt;MONTH(U27),"",U27+1))</f>
        <v/>
      </c>
      <c r="W27" s="36">
        <f>IF(V27="","",IF(MONTH(V27+1)&lt;&gt;MONTH(V27),"",V27+1))</f>
        <v/>
      </c>
      <c r="X27" s="36">
        <f>IF(W27="","",IF(MONTH(W27+1)&lt;&gt;MONTH(W27),"",W27+1))</f>
        <v/>
      </c>
      <c r="Y27" s="7" t="n"/>
      <c r="Z27" s="36">
        <f>IF(AF26="","",IF(MONTH(AF26+1)&lt;&gt;MONTH(AF26),"",AF26+1))</f>
        <v/>
      </c>
      <c r="AA27" s="36">
        <f>IF(Z27="","",IF(MONTH(Z27+1)&lt;&gt;MONTH(Z27),"",Z27+1))</f>
        <v/>
      </c>
      <c r="AB27" s="36">
        <f>IF(AA27="","",IF(MONTH(AA27+1)&lt;&gt;MONTH(AA27),"",AA27+1))</f>
        <v/>
      </c>
      <c r="AC27" s="36">
        <f>IF(AB27="","",IF(MONTH(AB27+1)&lt;&gt;MONTH(AB27),"",AB27+1))</f>
        <v/>
      </c>
      <c r="AD27" s="36">
        <f>IF(AC27="","",IF(MONTH(AC27+1)&lt;&gt;MONTH(AC27),"",AC27+1))</f>
        <v/>
      </c>
      <c r="AE27" s="36">
        <f>IF(AD27="","",IF(MONTH(AD27+1)&lt;&gt;MONTH(AD27),"",AD27+1))</f>
        <v/>
      </c>
      <c r="AF27" s="36">
        <f>IF(AE27="","",IF(MONTH(AE27+1)&lt;&gt;MONTH(AE27),"",AE27+1))</f>
        <v/>
      </c>
      <c r="AG27" s="68" t="n"/>
    </row>
    <row r="28" ht="18" customHeight="1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</row>
    <row r="29" ht="22.5" customFormat="1" customHeight="1" s="66">
      <c r="A29" s="71" t="n"/>
      <c r="B29" s="65">
        <f>DATE(YEAR(Z20+42),MONTH(Z20+42),1)</f>
        <v/>
      </c>
      <c r="G29" s="63">
        <f>D3</f>
        <v/>
      </c>
      <c r="H29" s="64" t="n"/>
      <c r="I29" s="7" t="n"/>
      <c r="J29" s="65">
        <f>DATE(YEAR(B29+42),MONTH(B29+42),1)</f>
        <v/>
      </c>
      <c r="O29" s="63">
        <f>D3</f>
        <v/>
      </c>
      <c r="P29" s="64" t="n"/>
      <c r="Q29" s="7" t="n"/>
      <c r="R29" s="65">
        <f>DATE(YEAR(J29+42),MONTH(J29+42),1)</f>
        <v/>
      </c>
      <c r="W29" s="63">
        <f>D3</f>
        <v/>
      </c>
      <c r="X29" s="64" t="n"/>
      <c r="Y29" s="7" t="n"/>
      <c r="Z29" s="65">
        <f>DATE(YEAR(R29+42),MONTH(R29+42),1)</f>
        <v/>
      </c>
      <c r="AE29" s="63">
        <f>D3</f>
        <v/>
      </c>
      <c r="AF29" s="64" t="n"/>
      <c r="AG29" s="10" t="n"/>
      <c r="AI29" s="67" t="n"/>
    </row>
    <row r="30" ht="18" customFormat="1" customHeight="1" s="68">
      <c r="A30" s="7" t="n"/>
      <c r="B30" s="38">
        <f>CHOOSE(1+MOD($R$3+1-2,7),"Su","M","Tu","W","Th","F","Sa")</f>
        <v/>
      </c>
      <c r="C30" s="39">
        <f>CHOOSE(1+MOD($R$3+2-2,7),"Su","M","Tu","W","Th","F","Sa")</f>
        <v/>
      </c>
      <c r="D30" s="39">
        <f>CHOOSE(1+MOD($R$3+3-2,7),"Su","M","Tu","W","Th","F","Sa")</f>
        <v/>
      </c>
      <c r="E30" s="39">
        <f>CHOOSE(1+MOD($R$3+4-2,7),"Su","M","Tu","W","Th","F","Sa")</f>
        <v/>
      </c>
      <c r="F30" s="39">
        <f>CHOOSE(1+MOD($R$3+5-2,7),"Su","M","Tu","W","Th","F","Sa")</f>
        <v/>
      </c>
      <c r="G30" s="39">
        <f>CHOOSE(1+MOD($R$3+6-2,7),"Su","M","Tu","W","Th","F","Sa")</f>
        <v/>
      </c>
      <c r="H30" s="40">
        <f>CHOOSE(1+MOD($R$3+7-2,7),"Su","M","Tu","W","Th","F","Sa")</f>
        <v/>
      </c>
      <c r="I30" s="7" t="n"/>
      <c r="J30" s="38">
        <f>CHOOSE(1+MOD($R$3+1-2,7),"Su","M","Tu","W","Th","F","Sa")</f>
        <v/>
      </c>
      <c r="K30" s="39">
        <f>CHOOSE(1+MOD($R$3+2-2,7),"Su","M","Tu","W","Th","F","Sa")</f>
        <v/>
      </c>
      <c r="L30" s="39">
        <f>CHOOSE(1+MOD($R$3+3-2,7),"Su","M","Tu","W","Th","F","Sa")</f>
        <v/>
      </c>
      <c r="M30" s="39">
        <f>CHOOSE(1+MOD($R$3+4-2,7),"Su","M","Tu","W","Th","F","Sa")</f>
        <v/>
      </c>
      <c r="N30" s="39">
        <f>CHOOSE(1+MOD($R$3+5-2,7),"Su","M","Tu","W","Th","F","Sa")</f>
        <v/>
      </c>
      <c r="O30" s="39">
        <f>CHOOSE(1+MOD($R$3+6-2,7),"Su","M","Tu","W","Th","F","Sa")</f>
        <v/>
      </c>
      <c r="P30" s="40">
        <f>CHOOSE(1+MOD($R$3+7-2,7),"Su","M","Tu","W","Th","F","Sa")</f>
        <v/>
      </c>
      <c r="Q30" s="7" t="n"/>
      <c r="R30" s="38">
        <f>CHOOSE(1+MOD($R$3+1-2,7),"Su","M","Tu","W","Th","F","Sa")</f>
        <v/>
      </c>
      <c r="S30" s="39">
        <f>CHOOSE(1+MOD($R$3+2-2,7),"Su","M","Tu","W","Th","F","Sa")</f>
        <v/>
      </c>
      <c r="T30" s="39">
        <f>CHOOSE(1+MOD($R$3+3-2,7),"Su","M","Tu","W","Th","F","Sa")</f>
        <v/>
      </c>
      <c r="U30" s="39">
        <f>CHOOSE(1+MOD($R$3+4-2,7),"Su","M","Tu","W","Th","F","Sa")</f>
        <v/>
      </c>
      <c r="V30" s="39">
        <f>CHOOSE(1+MOD($R$3+5-2,7),"Su","M","Tu","W","Th","F","Sa")</f>
        <v/>
      </c>
      <c r="W30" s="39">
        <f>CHOOSE(1+MOD($R$3+6-2,7),"Su","M","Tu","W","Th","F","Sa")</f>
        <v/>
      </c>
      <c r="X30" s="40">
        <f>CHOOSE(1+MOD($R$3+7-2,7),"Su","M","Tu","W","Th","F","Sa")</f>
        <v/>
      </c>
      <c r="Y30" s="7" t="n"/>
      <c r="Z30" s="38">
        <f>CHOOSE(1+MOD($R$3+1-2,7),"Su","M","Tu","W","Th","F","Sa")</f>
        <v/>
      </c>
      <c r="AA30" s="39">
        <f>CHOOSE(1+MOD($R$3+2-2,7),"Su","M","Tu","W","Th","F","Sa")</f>
        <v/>
      </c>
      <c r="AB30" s="39">
        <f>CHOOSE(1+MOD($R$3+3-2,7),"Su","M","Tu","W","Th","F","Sa")</f>
        <v/>
      </c>
      <c r="AC30" s="39">
        <f>CHOOSE(1+MOD($R$3+4-2,7),"Su","M","Tu","W","Th","F","Sa")</f>
        <v/>
      </c>
      <c r="AD30" s="39">
        <f>CHOOSE(1+MOD($R$3+5-2,7),"Su","M","Tu","W","Th","F","Sa")</f>
        <v/>
      </c>
      <c r="AE30" s="39">
        <f>CHOOSE(1+MOD($R$3+6-2,7),"Su","M","Tu","W","Th","F","Sa")</f>
        <v/>
      </c>
      <c r="AF30" s="40">
        <f>CHOOSE(1+MOD($R$3+7-2,7),"Su","M","Tu","W","Th","F","Sa")</f>
        <v/>
      </c>
    </row>
    <row r="31" ht="18" customFormat="1" customHeight="1" s="69">
      <c r="A31" s="7" t="n"/>
      <c r="B31" s="36">
        <f>IF(WEEKDAY(B29,1)=$R$3,B29,"")</f>
        <v/>
      </c>
      <c r="C31" s="36">
        <f>IF(B31="",IF(WEEKDAY(B29,1)=MOD($R$3,7)+1,B29,""),B31+1)</f>
        <v/>
      </c>
      <c r="D31" s="36">
        <f>IF(C31="",IF(WEEKDAY(B29,1)=MOD($R$3+1,7)+1,B29,""),C31+1)</f>
        <v/>
      </c>
      <c r="E31" s="36">
        <f>IF(D31="",IF(WEEKDAY(B29,1)=MOD($R$3+2,7)+1,B29,""),D31+1)</f>
        <v/>
      </c>
      <c r="F31" s="36">
        <f>IF(E31="",IF(WEEKDAY(B29,1)=MOD($R$3+3,7)+1,B29,""),E31+1)</f>
        <v/>
      </c>
      <c r="G31" s="36">
        <f>IF(F31="",IF(WEEKDAY(B29,1)=MOD($R$3+4,7)+1,B29,""),F31+1)</f>
        <v/>
      </c>
      <c r="H31" s="36">
        <f>IF(G31="",IF(WEEKDAY(B29,1)=MOD($R$3+5,7)+1,B29,""),G31+1)</f>
        <v/>
      </c>
      <c r="I31" s="7" t="n"/>
      <c r="J31" s="36">
        <f>IF(WEEKDAY(J29,1)=$R$3,J29,"")</f>
        <v/>
      </c>
      <c r="K31" s="36">
        <f>IF(J31="",IF(WEEKDAY(J29,1)=MOD($R$3,7)+1,J29,""),J31+1)</f>
        <v/>
      </c>
      <c r="L31" s="36">
        <f>IF(K31="",IF(WEEKDAY(J29,1)=MOD($R$3+1,7)+1,J29,""),K31+1)</f>
        <v/>
      </c>
      <c r="M31" s="36">
        <f>IF(L31="",IF(WEEKDAY(J29,1)=MOD($R$3+2,7)+1,J29,""),L31+1)</f>
        <v/>
      </c>
      <c r="N31" s="36">
        <f>IF(M31="",IF(WEEKDAY(J29,1)=MOD($R$3+3,7)+1,J29,""),M31+1)</f>
        <v/>
      </c>
      <c r="O31" s="36">
        <f>IF(N31="",IF(WEEKDAY(J29,1)=MOD($R$3+4,7)+1,J29,""),N31+1)</f>
        <v/>
      </c>
      <c r="P31" s="36">
        <f>IF(O31="",IF(WEEKDAY(J29,1)=MOD($R$3+5,7)+1,J29,""),O31+1)</f>
        <v/>
      </c>
      <c r="Q31" s="7" t="n"/>
      <c r="R31" s="36">
        <f>IF(WEEKDAY(R29,1)=$R$3,R29,"")</f>
        <v/>
      </c>
      <c r="S31" s="36">
        <f>IF(R31="",IF(WEEKDAY(R29,1)=MOD($R$3,7)+1,R29,""),R31+1)</f>
        <v/>
      </c>
      <c r="T31" s="36">
        <f>IF(S31="",IF(WEEKDAY(R29,1)=MOD($R$3+1,7)+1,R29,""),S31+1)</f>
        <v/>
      </c>
      <c r="U31" s="36">
        <f>IF(T31="",IF(WEEKDAY(R29,1)=MOD($R$3+2,7)+1,R29,""),T31+1)</f>
        <v/>
      </c>
      <c r="V31" s="36">
        <f>IF(U31="",IF(WEEKDAY(R29,1)=MOD($R$3+3,7)+1,R29,""),U31+1)</f>
        <v/>
      </c>
      <c r="W31" s="36">
        <f>IF(V31="",IF(WEEKDAY(R29,1)=MOD($R$3+4,7)+1,R29,""),V31+1)</f>
        <v/>
      </c>
      <c r="X31" s="36">
        <f>IF(W31="",IF(WEEKDAY(R29,1)=MOD($R$3+5,7)+1,R29,""),W31+1)</f>
        <v/>
      </c>
      <c r="Y31" s="7" t="n"/>
      <c r="Z31" s="36">
        <f>IF(WEEKDAY(Z29,1)=$R$3,Z29,"")</f>
        <v/>
      </c>
      <c r="AA31" s="36">
        <f>IF(Z31="",IF(WEEKDAY(Z29,1)=MOD($R$3,7)+1,Z29,""),Z31+1)</f>
        <v/>
      </c>
      <c r="AB31" s="36">
        <f>IF(AA31="",IF(WEEKDAY(Z29,1)=MOD($R$3+1,7)+1,Z29,""),AA31+1)</f>
        <v/>
      </c>
      <c r="AC31" s="36">
        <f>IF(AB31="",IF(WEEKDAY(Z29,1)=MOD($R$3+2,7)+1,Z29,""),AB31+1)</f>
        <v/>
      </c>
      <c r="AD31" s="36">
        <f>IF(AC31="",IF(WEEKDAY(Z29,1)=MOD($R$3+3,7)+1,Z29,""),AC31+1)</f>
        <v/>
      </c>
      <c r="AE31" s="36">
        <f>IF(AD31="",IF(WEEKDAY(Z29,1)=MOD($R$3+4,7)+1,Z29,""),AD31+1)</f>
        <v/>
      </c>
      <c r="AF31" s="36">
        <f>IF(AE31="",IF(WEEKDAY(Z29,1)=MOD($R$3+5,7)+1,Z29,""),AE31+1)</f>
        <v/>
      </c>
      <c r="AG31" s="68" t="n"/>
    </row>
    <row r="32" ht="18" customFormat="1" customHeight="1" s="69">
      <c r="A32" s="7" t="n"/>
      <c r="B32" s="36">
        <f>IF(H31="","",IF(MONTH(H31+1)&lt;&gt;MONTH(H31),"",H31+1))</f>
        <v/>
      </c>
      <c r="C32" s="36">
        <f>IF(B32="","",IF(MONTH(B32+1)&lt;&gt;MONTH(B32),"",B32+1))</f>
        <v/>
      </c>
      <c r="D32" s="36">
        <f>IF(C32="","",IF(MONTH(C32+1)&lt;&gt;MONTH(C32),"",C32+1))</f>
        <v/>
      </c>
      <c r="E32" s="36">
        <f>IF(D32="","",IF(MONTH(D32+1)&lt;&gt;MONTH(D32),"",D32+1))</f>
        <v/>
      </c>
      <c r="F32" s="36">
        <f>IF(E32="","",IF(MONTH(E32+1)&lt;&gt;MONTH(E32),"",E32+1))</f>
        <v/>
      </c>
      <c r="G32" s="36">
        <f>IF(F32="","",IF(MONTH(F32+1)&lt;&gt;MONTH(F32),"",F32+1))</f>
        <v/>
      </c>
      <c r="H32" s="36">
        <f>IF(G32="","",IF(MONTH(G32+1)&lt;&gt;MONTH(G32),"",G32+1))</f>
        <v/>
      </c>
      <c r="I32" s="7" t="n"/>
      <c r="J32" s="36">
        <f>IF(P31="","",IF(MONTH(P31+1)&lt;&gt;MONTH(P31),"",P31+1))</f>
        <v/>
      </c>
      <c r="K32" s="36">
        <f>IF(J32="","",IF(MONTH(J32+1)&lt;&gt;MONTH(J32),"",J32+1))</f>
        <v/>
      </c>
      <c r="L32" s="36">
        <f>IF(K32="","",IF(MONTH(K32+1)&lt;&gt;MONTH(K32),"",K32+1))</f>
        <v/>
      </c>
      <c r="M32" s="36">
        <f>IF(L32="","",IF(MONTH(L32+1)&lt;&gt;MONTH(L32),"",L32+1))</f>
        <v/>
      </c>
      <c r="N32" s="36">
        <f>IF(M32="","",IF(MONTH(M32+1)&lt;&gt;MONTH(M32),"",M32+1))</f>
        <v/>
      </c>
      <c r="O32" s="36">
        <f>IF(N32="","",IF(MONTH(N32+1)&lt;&gt;MONTH(N32),"",N32+1))</f>
        <v/>
      </c>
      <c r="P32" s="36">
        <f>IF(O32="","",IF(MONTH(O32+1)&lt;&gt;MONTH(O32),"",O32+1))</f>
        <v/>
      </c>
      <c r="Q32" s="7" t="n"/>
      <c r="R32" s="36">
        <f>IF(X31="","",IF(MONTH(X31+1)&lt;&gt;MONTH(X31),"",X31+1))</f>
        <v/>
      </c>
      <c r="S32" s="36">
        <f>IF(R32="","",IF(MONTH(R32+1)&lt;&gt;MONTH(R32),"",R32+1))</f>
        <v/>
      </c>
      <c r="T32" s="36">
        <f>IF(S32="","",IF(MONTH(S32+1)&lt;&gt;MONTH(S32),"",S32+1))</f>
        <v/>
      </c>
      <c r="U32" s="36">
        <f>IF(T32="","",IF(MONTH(T32+1)&lt;&gt;MONTH(T32),"",T32+1))</f>
        <v/>
      </c>
      <c r="V32" s="36">
        <f>IF(U32="","",IF(MONTH(U32+1)&lt;&gt;MONTH(U32),"",U32+1))</f>
        <v/>
      </c>
      <c r="W32" s="36">
        <f>IF(V32="","",IF(MONTH(V32+1)&lt;&gt;MONTH(V32),"",V32+1))</f>
        <v/>
      </c>
      <c r="X32" s="36">
        <f>IF(W32="","",IF(MONTH(W32+1)&lt;&gt;MONTH(W32),"",W32+1))</f>
        <v/>
      </c>
      <c r="Y32" s="7" t="n"/>
      <c r="Z32" s="36">
        <f>IF(AF31="","",IF(MONTH(AF31+1)&lt;&gt;MONTH(AF31),"",AF31+1))</f>
        <v/>
      </c>
      <c r="AA32" s="36">
        <f>IF(Z32="","",IF(MONTH(Z32+1)&lt;&gt;MONTH(Z32),"",Z32+1))</f>
        <v/>
      </c>
      <c r="AB32" s="36">
        <f>IF(AA32="","",IF(MONTH(AA32+1)&lt;&gt;MONTH(AA32),"",AA32+1))</f>
        <v/>
      </c>
      <c r="AC32" s="36">
        <f>IF(AB32="","",IF(MONTH(AB32+1)&lt;&gt;MONTH(AB32),"",AB32+1))</f>
        <v/>
      </c>
      <c r="AD32" s="36">
        <f>IF(AC32="","",IF(MONTH(AC32+1)&lt;&gt;MONTH(AC32),"",AC32+1))</f>
        <v/>
      </c>
      <c r="AE32" s="36">
        <f>IF(AD32="","",IF(MONTH(AD32+1)&lt;&gt;MONTH(AD32),"",AD32+1))</f>
        <v/>
      </c>
      <c r="AF32" s="36">
        <f>IF(AE32="","",IF(MONTH(AE32+1)&lt;&gt;MONTH(AE32),"",AE32+1))</f>
        <v/>
      </c>
      <c r="AG32" s="68" t="n"/>
    </row>
    <row r="33" ht="18" customFormat="1" customHeight="1" s="69">
      <c r="A33" s="7" t="n"/>
      <c r="B33" s="36">
        <f>IF(H32="","",IF(MONTH(H32+1)&lt;&gt;MONTH(H32),"",H32+1))</f>
        <v/>
      </c>
      <c r="C33" s="36">
        <f>IF(B33="","",IF(MONTH(B33+1)&lt;&gt;MONTH(B33),"",B33+1))</f>
        <v/>
      </c>
      <c r="D33" s="36">
        <f>IF(C33="","",IF(MONTH(C33+1)&lt;&gt;MONTH(C33),"",C33+1))</f>
        <v/>
      </c>
      <c r="E33" s="36">
        <f>IF(D33="","",IF(MONTH(D33+1)&lt;&gt;MONTH(D33),"",D33+1))</f>
        <v/>
      </c>
      <c r="F33" s="36">
        <f>IF(E33="","",IF(MONTH(E33+1)&lt;&gt;MONTH(E33),"",E33+1))</f>
        <v/>
      </c>
      <c r="G33" s="36">
        <f>IF(F33="","",IF(MONTH(F33+1)&lt;&gt;MONTH(F33),"",F33+1))</f>
        <v/>
      </c>
      <c r="H33" s="36">
        <f>IF(G33="","",IF(MONTH(G33+1)&lt;&gt;MONTH(G33),"",G33+1))</f>
        <v/>
      </c>
      <c r="I33" s="7" t="n"/>
      <c r="J33" s="36">
        <f>IF(P32="","",IF(MONTH(P32+1)&lt;&gt;MONTH(P32),"",P32+1))</f>
        <v/>
      </c>
      <c r="K33" s="36">
        <f>IF(J33="","",IF(MONTH(J33+1)&lt;&gt;MONTH(J33),"",J33+1))</f>
        <v/>
      </c>
      <c r="L33" s="36">
        <f>IF(K33="","",IF(MONTH(K33+1)&lt;&gt;MONTH(K33),"",K33+1))</f>
        <v/>
      </c>
      <c r="M33" s="36">
        <f>IF(L33="","",IF(MONTH(L33+1)&lt;&gt;MONTH(L33),"",L33+1))</f>
        <v/>
      </c>
      <c r="N33" s="36">
        <f>IF(M33="","",IF(MONTH(M33+1)&lt;&gt;MONTH(M33),"",M33+1))</f>
        <v/>
      </c>
      <c r="O33" s="36">
        <f>IF(N33="","",IF(MONTH(N33+1)&lt;&gt;MONTH(N33),"",N33+1))</f>
        <v/>
      </c>
      <c r="P33" s="36">
        <f>IF(O33="","",IF(MONTH(O33+1)&lt;&gt;MONTH(O33),"",O33+1))</f>
        <v/>
      </c>
      <c r="Q33" s="7" t="n"/>
      <c r="R33" s="36">
        <f>IF(X32="","",IF(MONTH(X32+1)&lt;&gt;MONTH(X32),"",X32+1))</f>
        <v/>
      </c>
      <c r="S33" s="36">
        <f>IF(R33="","",IF(MONTH(R33+1)&lt;&gt;MONTH(R33),"",R33+1))</f>
        <v/>
      </c>
      <c r="T33" s="36">
        <f>IF(S33="","",IF(MONTH(S33+1)&lt;&gt;MONTH(S33),"",S33+1))</f>
        <v/>
      </c>
      <c r="U33" s="36">
        <f>IF(T33="","",IF(MONTH(T33+1)&lt;&gt;MONTH(T33),"",T33+1))</f>
        <v/>
      </c>
      <c r="V33" s="36">
        <f>IF(U33="","",IF(MONTH(U33+1)&lt;&gt;MONTH(U33),"",U33+1))</f>
        <v/>
      </c>
      <c r="W33" s="36">
        <f>IF(V33="","",IF(MONTH(V33+1)&lt;&gt;MONTH(V33),"",V33+1))</f>
        <v/>
      </c>
      <c r="X33" s="36">
        <f>IF(W33="","",IF(MONTH(W33+1)&lt;&gt;MONTH(W33),"",W33+1))</f>
        <v/>
      </c>
      <c r="Y33" s="7" t="n"/>
      <c r="Z33" s="36">
        <f>IF(AF32="","",IF(MONTH(AF32+1)&lt;&gt;MONTH(AF32),"",AF32+1))</f>
        <v/>
      </c>
      <c r="AA33" s="36">
        <f>IF(Z33="","",IF(MONTH(Z33+1)&lt;&gt;MONTH(Z33),"",Z33+1))</f>
        <v/>
      </c>
      <c r="AB33" s="36">
        <f>IF(AA33="","",IF(MONTH(AA33+1)&lt;&gt;MONTH(AA33),"",AA33+1))</f>
        <v/>
      </c>
      <c r="AC33" s="36">
        <f>IF(AB33="","",IF(MONTH(AB33+1)&lt;&gt;MONTH(AB33),"",AB33+1))</f>
        <v/>
      </c>
      <c r="AD33" s="36">
        <f>IF(AC33="","",IF(MONTH(AC33+1)&lt;&gt;MONTH(AC33),"",AC33+1))</f>
        <v/>
      </c>
      <c r="AE33" s="36">
        <f>IF(AD33="","",IF(MONTH(AD33+1)&lt;&gt;MONTH(AD33),"",AD33+1))</f>
        <v/>
      </c>
      <c r="AF33" s="36">
        <f>IF(AE33="","",IF(MONTH(AE33+1)&lt;&gt;MONTH(AE33),"",AE33+1))</f>
        <v/>
      </c>
      <c r="AG33" s="68" t="n"/>
    </row>
    <row r="34" ht="18" customFormat="1" customHeight="1" s="69">
      <c r="A34" s="7" t="n"/>
      <c r="B34" s="36">
        <f>IF(H33="","",IF(MONTH(H33+1)&lt;&gt;MONTH(H33),"",H33+1))</f>
        <v/>
      </c>
      <c r="C34" s="36">
        <f>IF(B34="","",IF(MONTH(B34+1)&lt;&gt;MONTH(B34),"",B34+1))</f>
        <v/>
      </c>
      <c r="D34" s="36">
        <f>IF(C34="","",IF(MONTH(C34+1)&lt;&gt;MONTH(C34),"",C34+1))</f>
        <v/>
      </c>
      <c r="E34" s="36">
        <f>IF(D34="","",IF(MONTH(D34+1)&lt;&gt;MONTH(D34),"",D34+1))</f>
        <v/>
      </c>
      <c r="F34" s="36">
        <f>IF(E34="","",IF(MONTH(E34+1)&lt;&gt;MONTH(E34),"",E34+1))</f>
        <v/>
      </c>
      <c r="G34" s="36">
        <f>IF(F34="","",IF(MONTH(F34+1)&lt;&gt;MONTH(F34),"",F34+1))</f>
        <v/>
      </c>
      <c r="H34" s="36">
        <f>IF(G34="","",IF(MONTH(G34+1)&lt;&gt;MONTH(G34),"",G34+1))</f>
        <v/>
      </c>
      <c r="I34" s="7" t="n"/>
      <c r="J34" s="36">
        <f>IF(P33="","",IF(MONTH(P33+1)&lt;&gt;MONTH(P33),"",P33+1))</f>
        <v/>
      </c>
      <c r="K34" s="36">
        <f>IF(J34="","",IF(MONTH(J34+1)&lt;&gt;MONTH(J34),"",J34+1))</f>
        <v/>
      </c>
      <c r="L34" s="36">
        <f>IF(K34="","",IF(MONTH(K34+1)&lt;&gt;MONTH(K34),"",K34+1))</f>
        <v/>
      </c>
      <c r="M34" s="36">
        <f>IF(L34="","",IF(MONTH(L34+1)&lt;&gt;MONTH(L34),"",L34+1))</f>
        <v/>
      </c>
      <c r="N34" s="36">
        <f>IF(M34="","",IF(MONTH(M34+1)&lt;&gt;MONTH(M34),"",M34+1))</f>
        <v/>
      </c>
      <c r="O34" s="36">
        <f>IF(N34="","",IF(MONTH(N34+1)&lt;&gt;MONTH(N34),"",N34+1))</f>
        <v/>
      </c>
      <c r="P34" s="36">
        <f>IF(O34="","",IF(MONTH(O34+1)&lt;&gt;MONTH(O34),"",O34+1))</f>
        <v/>
      </c>
      <c r="Q34" s="7" t="n"/>
      <c r="R34" s="36">
        <f>IF(X33="","",IF(MONTH(X33+1)&lt;&gt;MONTH(X33),"",X33+1))</f>
        <v/>
      </c>
      <c r="S34" s="36">
        <f>IF(R34="","",IF(MONTH(R34+1)&lt;&gt;MONTH(R34),"",R34+1))</f>
        <v/>
      </c>
      <c r="T34" s="36">
        <f>IF(S34="","",IF(MONTH(S34+1)&lt;&gt;MONTH(S34),"",S34+1))</f>
        <v/>
      </c>
      <c r="U34" s="36">
        <f>IF(T34="","",IF(MONTH(T34+1)&lt;&gt;MONTH(T34),"",T34+1))</f>
        <v/>
      </c>
      <c r="V34" s="36">
        <f>IF(U34="","",IF(MONTH(U34+1)&lt;&gt;MONTH(U34),"",U34+1))</f>
        <v/>
      </c>
      <c r="W34" s="36">
        <f>IF(V34="","",IF(MONTH(V34+1)&lt;&gt;MONTH(V34),"",V34+1))</f>
        <v/>
      </c>
      <c r="X34" s="36">
        <f>IF(W34="","",IF(MONTH(W34+1)&lt;&gt;MONTH(W34),"",W34+1))</f>
        <v/>
      </c>
      <c r="Y34" s="7" t="n"/>
      <c r="Z34" s="36">
        <f>IF(AF33="","",IF(MONTH(AF33+1)&lt;&gt;MONTH(AF33),"",AF33+1))</f>
        <v/>
      </c>
      <c r="AA34" s="36">
        <f>IF(Z34="","",IF(MONTH(Z34+1)&lt;&gt;MONTH(Z34),"",Z34+1))</f>
        <v/>
      </c>
      <c r="AB34" s="36">
        <f>IF(AA34="","",IF(MONTH(AA34+1)&lt;&gt;MONTH(AA34),"",AA34+1))</f>
        <v/>
      </c>
      <c r="AC34" s="36">
        <f>IF(AB34="","",IF(MONTH(AB34+1)&lt;&gt;MONTH(AB34),"",AB34+1))</f>
        <v/>
      </c>
      <c r="AD34" s="36">
        <f>IF(AC34="","",IF(MONTH(AC34+1)&lt;&gt;MONTH(AC34),"",AC34+1))</f>
        <v/>
      </c>
      <c r="AE34" s="36">
        <f>IF(AD34="","",IF(MONTH(AD34+1)&lt;&gt;MONTH(AD34),"",AD34+1))</f>
        <v/>
      </c>
      <c r="AF34" s="36">
        <f>IF(AE34="","",IF(MONTH(AE34+1)&lt;&gt;MONTH(AE34),"",AE34+1))</f>
        <v/>
      </c>
      <c r="AG34" s="68" t="n"/>
    </row>
    <row r="35" ht="18" customFormat="1" customHeight="1" s="69">
      <c r="A35" s="7" t="n"/>
      <c r="B35" s="36">
        <f>IF(H34="","",IF(MONTH(H34+1)&lt;&gt;MONTH(H34),"",H34+1))</f>
        <v/>
      </c>
      <c r="C35" s="36">
        <f>IF(B35="","",IF(MONTH(B35+1)&lt;&gt;MONTH(B35),"",B35+1))</f>
        <v/>
      </c>
      <c r="D35" s="36">
        <f>IF(C35="","",IF(MONTH(C35+1)&lt;&gt;MONTH(C35),"",C35+1))</f>
        <v/>
      </c>
      <c r="E35" s="36">
        <f>IF(D35="","",IF(MONTH(D35+1)&lt;&gt;MONTH(D35),"",D35+1))</f>
        <v/>
      </c>
      <c r="F35" s="36">
        <f>IF(E35="","",IF(MONTH(E35+1)&lt;&gt;MONTH(E35),"",E35+1))</f>
        <v/>
      </c>
      <c r="G35" s="36">
        <f>IF(F35="","",IF(MONTH(F35+1)&lt;&gt;MONTH(F35),"",F35+1))</f>
        <v/>
      </c>
      <c r="H35" s="36">
        <f>IF(G35="","",IF(MONTH(G35+1)&lt;&gt;MONTH(G35),"",G35+1))</f>
        <v/>
      </c>
      <c r="I35" s="7" t="n"/>
      <c r="J35" s="36">
        <f>IF(P34="","",IF(MONTH(P34+1)&lt;&gt;MONTH(P34),"",P34+1))</f>
        <v/>
      </c>
      <c r="K35" s="36">
        <f>IF(J35="","",IF(MONTH(J35+1)&lt;&gt;MONTH(J35),"",J35+1))</f>
        <v/>
      </c>
      <c r="L35" s="36">
        <f>IF(K35="","",IF(MONTH(K35+1)&lt;&gt;MONTH(K35),"",K35+1))</f>
        <v/>
      </c>
      <c r="M35" s="36">
        <f>IF(L35="","",IF(MONTH(L35+1)&lt;&gt;MONTH(L35),"",L35+1))</f>
        <v/>
      </c>
      <c r="N35" s="36">
        <f>IF(M35="","",IF(MONTH(M35+1)&lt;&gt;MONTH(M35),"",M35+1))</f>
        <v/>
      </c>
      <c r="O35" s="36">
        <f>IF(N35="","",IF(MONTH(N35+1)&lt;&gt;MONTH(N35),"",N35+1))</f>
        <v/>
      </c>
      <c r="P35" s="36">
        <f>IF(O35="","",IF(MONTH(O35+1)&lt;&gt;MONTH(O35),"",O35+1))</f>
        <v/>
      </c>
      <c r="Q35" s="7" t="n"/>
      <c r="R35" s="36">
        <f>IF(X34="","",IF(MONTH(X34+1)&lt;&gt;MONTH(X34),"",X34+1))</f>
        <v/>
      </c>
      <c r="S35" s="36">
        <f>IF(R35="","",IF(MONTH(R35+1)&lt;&gt;MONTH(R35),"",R35+1))</f>
        <v/>
      </c>
      <c r="T35" s="36">
        <f>IF(S35="","",IF(MONTH(S35+1)&lt;&gt;MONTH(S35),"",S35+1))</f>
        <v/>
      </c>
      <c r="U35" s="36">
        <f>IF(T35="","",IF(MONTH(T35+1)&lt;&gt;MONTH(T35),"",T35+1))</f>
        <v/>
      </c>
      <c r="V35" s="36">
        <f>IF(U35="","",IF(MONTH(U35+1)&lt;&gt;MONTH(U35),"",U35+1))</f>
        <v/>
      </c>
      <c r="W35" s="36">
        <f>IF(V35="","",IF(MONTH(V35+1)&lt;&gt;MONTH(V35),"",V35+1))</f>
        <v/>
      </c>
      <c r="X35" s="36">
        <f>IF(W35="","",IF(MONTH(W35+1)&lt;&gt;MONTH(W35),"",W35+1))</f>
        <v/>
      </c>
      <c r="Y35" s="7" t="n"/>
      <c r="Z35" s="36">
        <f>IF(AF34="","",IF(MONTH(AF34+1)&lt;&gt;MONTH(AF34),"",AF34+1))</f>
        <v/>
      </c>
      <c r="AA35" s="36">
        <f>IF(Z35="","",IF(MONTH(Z35+1)&lt;&gt;MONTH(Z35),"",Z35+1))</f>
        <v/>
      </c>
      <c r="AB35" s="36">
        <f>IF(AA35="","",IF(MONTH(AA35+1)&lt;&gt;MONTH(AA35),"",AA35+1))</f>
        <v/>
      </c>
      <c r="AC35" s="36">
        <f>IF(AB35="","",IF(MONTH(AB35+1)&lt;&gt;MONTH(AB35),"",AB35+1))</f>
        <v/>
      </c>
      <c r="AD35" s="36">
        <f>IF(AC35="","",IF(MONTH(AC35+1)&lt;&gt;MONTH(AC35),"",AC35+1))</f>
        <v/>
      </c>
      <c r="AE35" s="36">
        <f>IF(AD35="","",IF(MONTH(AD35+1)&lt;&gt;MONTH(AD35),"",AD35+1))</f>
        <v/>
      </c>
      <c r="AF35" s="36">
        <f>IF(AE35="","",IF(MONTH(AE35+1)&lt;&gt;MONTH(AE35),"",AE35+1))</f>
        <v/>
      </c>
      <c r="AG35" s="68" t="n"/>
    </row>
    <row r="36" ht="18" customFormat="1" customHeight="1" s="69">
      <c r="A36" s="7" t="n"/>
      <c r="B36" s="36">
        <f>IF(H35="","",IF(MONTH(H35+1)&lt;&gt;MONTH(H35),"",H35+1))</f>
        <v/>
      </c>
      <c r="C36" s="36">
        <f>IF(B36="","",IF(MONTH(B36+1)&lt;&gt;MONTH(B36),"",B36+1))</f>
        <v/>
      </c>
      <c r="D36" s="36">
        <f>IF(C36="","",IF(MONTH(C36+1)&lt;&gt;MONTH(C36),"",C36+1))</f>
        <v/>
      </c>
      <c r="E36" s="36">
        <f>IF(D36="","",IF(MONTH(D36+1)&lt;&gt;MONTH(D36),"",D36+1))</f>
        <v/>
      </c>
      <c r="F36" s="36">
        <f>IF(E36="","",IF(MONTH(E36+1)&lt;&gt;MONTH(E36),"",E36+1))</f>
        <v/>
      </c>
      <c r="G36" s="36">
        <f>IF(F36="","",IF(MONTH(F36+1)&lt;&gt;MONTH(F36),"",F36+1))</f>
        <v/>
      </c>
      <c r="H36" s="36">
        <f>IF(G36="","",IF(MONTH(G36+1)&lt;&gt;MONTH(G36),"",G36+1))</f>
        <v/>
      </c>
      <c r="I36" s="7" t="n"/>
      <c r="J36" s="36">
        <f>IF(P35="","",IF(MONTH(P35+1)&lt;&gt;MONTH(P35),"",P35+1))</f>
        <v/>
      </c>
      <c r="K36" s="36">
        <f>IF(J36="","",IF(MONTH(J36+1)&lt;&gt;MONTH(J36),"",J36+1))</f>
        <v/>
      </c>
      <c r="L36" s="36">
        <f>IF(K36="","",IF(MONTH(K36+1)&lt;&gt;MONTH(K36),"",K36+1))</f>
        <v/>
      </c>
      <c r="M36" s="36">
        <f>IF(L36="","",IF(MONTH(L36+1)&lt;&gt;MONTH(L36),"",L36+1))</f>
        <v/>
      </c>
      <c r="N36" s="36">
        <f>IF(M36="","",IF(MONTH(M36+1)&lt;&gt;MONTH(M36),"",M36+1))</f>
        <v/>
      </c>
      <c r="O36" s="36">
        <f>IF(N36="","",IF(MONTH(N36+1)&lt;&gt;MONTH(N36),"",N36+1))</f>
        <v/>
      </c>
      <c r="P36" s="36">
        <f>IF(O36="","",IF(MONTH(O36+1)&lt;&gt;MONTH(O36),"",O36+1))</f>
        <v/>
      </c>
      <c r="Q36" s="7" t="n"/>
      <c r="R36" s="36">
        <f>IF(X35="","",IF(MONTH(X35+1)&lt;&gt;MONTH(X35),"",X35+1))</f>
        <v/>
      </c>
      <c r="S36" s="36">
        <f>IF(R36="","",IF(MONTH(R36+1)&lt;&gt;MONTH(R36),"",R36+1))</f>
        <v/>
      </c>
      <c r="T36" s="36">
        <f>IF(S36="","",IF(MONTH(S36+1)&lt;&gt;MONTH(S36),"",S36+1))</f>
        <v/>
      </c>
      <c r="U36" s="36">
        <f>IF(T36="","",IF(MONTH(T36+1)&lt;&gt;MONTH(T36),"",T36+1))</f>
        <v/>
      </c>
      <c r="V36" s="36">
        <f>IF(U36="","",IF(MONTH(U36+1)&lt;&gt;MONTH(U36),"",U36+1))</f>
        <v/>
      </c>
      <c r="W36" s="36">
        <f>IF(V36="","",IF(MONTH(V36+1)&lt;&gt;MONTH(V36),"",V36+1))</f>
        <v/>
      </c>
      <c r="X36" s="36">
        <f>IF(W36="","",IF(MONTH(W36+1)&lt;&gt;MONTH(W36),"",W36+1))</f>
        <v/>
      </c>
      <c r="Y36" s="7" t="n"/>
      <c r="Z36" s="36">
        <f>IF(AF35="","",IF(MONTH(AF35+1)&lt;&gt;MONTH(AF35),"",AF35+1))</f>
        <v/>
      </c>
      <c r="AA36" s="36">
        <f>IF(Z36="","",IF(MONTH(Z36+1)&lt;&gt;MONTH(Z36),"",Z36+1))</f>
        <v/>
      </c>
      <c r="AB36" s="36">
        <f>IF(AA36="","",IF(MONTH(AA36+1)&lt;&gt;MONTH(AA36),"",AA36+1))</f>
        <v/>
      </c>
      <c r="AC36" s="36">
        <f>IF(AB36="","",IF(MONTH(AB36+1)&lt;&gt;MONTH(AB36),"",AB36+1))</f>
        <v/>
      </c>
      <c r="AD36" s="36">
        <f>IF(AC36="","",IF(MONTH(AC36+1)&lt;&gt;MONTH(AC36),"",AC36+1))</f>
        <v/>
      </c>
      <c r="AE36" s="36">
        <f>IF(AD36="","",IF(MONTH(AD36+1)&lt;&gt;MONTH(AD36),"",AD36+1))</f>
        <v/>
      </c>
      <c r="AF36" s="36">
        <f>IF(AE36="","",IF(MONTH(AE36+1)&lt;&gt;MONTH(AE36),"",AE36+1))</f>
        <v/>
      </c>
      <c r="AG36" s="68" t="n"/>
    </row>
    <row r="37" ht="15" customHeight="1">
      <c r="B37" s="19" t="inlineStr">
        <is>
          <t>Dates: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</row>
    <row r="38" ht="15" customHeight="1">
      <c r="B38" s="72" t="inlineStr">
        <is>
          <t>Begin Pre-Production - July 13th, 2026</t>
        </is>
      </c>
      <c r="C38" s="73" t="n"/>
      <c r="D38" s="73" t="n"/>
      <c r="E38" s="73" t="n"/>
      <c r="F38" s="73" t="n"/>
      <c r="G38" s="73" t="n"/>
      <c r="H38" s="73" t="n"/>
      <c r="I38" s="73" t="n"/>
      <c r="J38" s="73" t="n"/>
      <c r="K38" s="52" t="n"/>
      <c r="L38" s="52" t="n"/>
      <c r="M38" s="52" t="n"/>
      <c r="N38" s="74" t="inlineStr">
        <is>
          <t>12 weeks</t>
        </is>
      </c>
      <c r="O38" s="73" t="n"/>
      <c r="P38" s="75" t="n"/>
      <c r="R38" s="21" t="n"/>
      <c r="S38" s="22" t="n"/>
      <c r="T38" s="20" t="n"/>
      <c r="U38" s="20" t="inlineStr">
        <is>
          <t>Pre-Production</t>
        </is>
      </c>
      <c r="V38" s="20" t="n"/>
      <c r="W38" s="13" t="n"/>
      <c r="Y38" s="7" t="n"/>
      <c r="Z38" s="7" t="n"/>
      <c r="AA38" s="7" t="n"/>
      <c r="AB38" s="7" t="n"/>
      <c r="AC38" s="7" t="n"/>
      <c r="AD38" s="7" t="n"/>
      <c r="AE38" s="7" t="n"/>
      <c r="AF38" s="14" t="n"/>
      <c r="AG38" s="7" t="n"/>
    </row>
    <row r="39" ht="14" customFormat="1" customHeight="1" s="7">
      <c r="B39" s="55" t="n"/>
      <c r="C39" s="56" t="n"/>
      <c r="P39" s="57" t="n"/>
      <c r="R39" s="25" t="n"/>
      <c r="S39" s="26" t="n"/>
      <c r="T39" s="20" t="n"/>
      <c r="U39" s="20" t="inlineStr">
        <is>
          <t>Production</t>
        </is>
      </c>
      <c r="V39" s="20" t="n"/>
    </row>
    <row r="40" ht="15" customHeight="1">
      <c r="B40" s="81" t="inlineStr">
        <is>
          <t>Begin Production - October 5th, 2026</t>
        </is>
      </c>
      <c r="J40" s="48" t="n"/>
      <c r="N40" s="48" t="inlineStr">
        <is>
          <t>9 weeks /</t>
        </is>
      </c>
      <c r="O40" s="48" t="n"/>
      <c r="P40" s="49" t="n"/>
      <c r="R40" s="30" t="n"/>
      <c r="S40" s="31" t="n"/>
      <c r="T40" s="20" t="n"/>
      <c r="U40" s="20" t="inlineStr">
        <is>
          <t>Holidays / Hiatus</t>
        </is>
      </c>
      <c r="V40" s="20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</row>
    <row r="41" ht="15" customHeight="1">
      <c r="B41" s="23" t="n"/>
      <c r="C41" s="54" t="n"/>
      <c r="D41" s="13" t="n"/>
      <c r="E41" s="13" t="n"/>
      <c r="F41" s="13" t="n"/>
      <c r="G41" s="13" t="n"/>
      <c r="H41" s="13" t="n"/>
      <c r="I41" s="13" t="n"/>
      <c r="J41" s="13" t="n"/>
      <c r="N41" s="24" t="inlineStr">
        <is>
          <t>40 days</t>
        </is>
      </c>
      <c r="O41" s="24" t="n"/>
      <c r="P41" s="27" t="n"/>
      <c r="R41" s="28" t="n"/>
      <c r="S41" s="29" t="n"/>
      <c r="T41" s="20" t="n"/>
      <c r="U41" s="20" t="inlineStr">
        <is>
          <t>Post Production</t>
        </is>
      </c>
      <c r="V41" s="20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</row>
    <row r="42" ht="15" customHeight="1">
      <c r="B42" s="81" t="inlineStr">
        <is>
          <t>Begin Post Production - December 7th, 2026</t>
        </is>
      </c>
      <c r="C42" s="47" t="n"/>
      <c r="D42" s="47" t="n"/>
      <c r="E42" s="47" t="n"/>
      <c r="F42" s="47" t="n"/>
      <c r="G42" s="47" t="n"/>
      <c r="H42" s="47" t="n"/>
      <c r="I42" s="47" t="n"/>
      <c r="J42" s="47" t="n"/>
      <c r="N42" s="48" t="inlineStr">
        <is>
          <t>24 weeks</t>
        </is>
      </c>
      <c r="O42" s="48" t="n"/>
      <c r="P42" s="50" t="n"/>
      <c r="R42" s="34" t="n"/>
      <c r="S42" s="35" t="n"/>
      <c r="T42" s="20" t="n"/>
      <c r="U42" s="20" t="inlineStr">
        <is>
          <t>Print &amp; Ship</t>
        </is>
      </c>
      <c r="V42" s="20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</row>
    <row r="43" ht="15" customHeight="1">
      <c r="B43" s="43" t="inlineStr">
        <is>
          <t>Plus 4 weeks for Print &amp; Ship</t>
        </is>
      </c>
      <c r="C43" s="44" t="n"/>
      <c r="D43" s="44" t="n"/>
      <c r="E43" s="44" t="n"/>
      <c r="F43" s="44" t="n"/>
      <c r="G43" s="44" t="n"/>
      <c r="H43" s="44" t="n"/>
      <c r="I43" s="44" t="n"/>
      <c r="J43" s="44" t="n"/>
      <c r="N43" s="13" t="n"/>
      <c r="O43" s="13" t="n"/>
      <c r="P43" s="32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</row>
    <row r="44" ht="15" customHeight="1">
      <c r="B44" s="45" t="inlineStr">
        <is>
          <t>Ready for Release - June 18, 2027</t>
        </is>
      </c>
      <c r="C44" s="42" t="n"/>
      <c r="D44" s="42" t="n"/>
      <c r="E44" s="42" t="n"/>
      <c r="F44" s="42" t="n"/>
      <c r="G44" s="42" t="n"/>
      <c r="H44" s="42" t="n"/>
      <c r="I44" s="42" t="n"/>
      <c r="J44" s="42" t="n"/>
      <c r="K44" s="53" t="n"/>
      <c r="L44" s="53" t="n"/>
      <c r="M44" s="53" t="n"/>
      <c r="N44" s="42" t="n"/>
      <c r="O44" s="42" t="n"/>
      <c r="P44" s="33" t="n"/>
      <c r="R44" s="20" t="n"/>
      <c r="S44" s="20" t="n"/>
      <c r="T44" s="20" t="n"/>
      <c r="U44" s="20" t="n"/>
      <c r="V44" s="20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</row>
    <row r="45" ht="15" customHeight="1">
      <c r="B45" s="19" t="inlineStr">
        <is>
          <t>Notes: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T45" s="20" t="n"/>
      <c r="U45" s="20" t="n"/>
      <c r="V45" s="20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</row>
  </sheetData>
  <mergeCells count="37">
    <mergeCell ref="AE20:AF20"/>
    <mergeCell ref="J29:N29"/>
    <mergeCell ref="G11:H11"/>
    <mergeCell ref="Z11:AD11"/>
    <mergeCell ref="R29:V29"/>
    <mergeCell ref="R11:V11"/>
    <mergeCell ref="AI29:AI36"/>
    <mergeCell ref="B8:Y8"/>
    <mergeCell ref="B38:J38"/>
    <mergeCell ref="N38:P38"/>
    <mergeCell ref="W20:X20"/>
    <mergeCell ref="O29:P29"/>
    <mergeCell ref="O20:P20"/>
    <mergeCell ref="R1:X1"/>
    <mergeCell ref="B11:F11"/>
    <mergeCell ref="D3:F3"/>
    <mergeCell ref="J3:L3"/>
    <mergeCell ref="B7:AF7"/>
    <mergeCell ref="B29:F29"/>
    <mergeCell ref="R20:V20"/>
    <mergeCell ref="AE29:AF29"/>
    <mergeCell ref="J11:N11"/>
    <mergeCell ref="J20:N20"/>
    <mergeCell ref="R3:S3"/>
    <mergeCell ref="Z29:AD29"/>
    <mergeCell ref="B9:F9"/>
    <mergeCell ref="B40:I40"/>
    <mergeCell ref="G29:H29"/>
    <mergeCell ref="G20:H20"/>
    <mergeCell ref="Z20:AD20"/>
    <mergeCell ref="O11:P11"/>
    <mergeCell ref="B20:F20"/>
    <mergeCell ref="W11:X11"/>
    <mergeCell ref="W29:X29"/>
    <mergeCell ref="AI12:AI17"/>
    <mergeCell ref="AE11:AF11"/>
    <mergeCell ref="G9:H9"/>
  </mergeCells>
  <conditionalFormatting sqref="B11 B20 J11 J20 R11 R20 Z11 Z20">
    <cfRule type="expression" priority="2" dxfId="2">
      <formula>$J$3=1</formula>
    </cfRule>
  </conditionalFormatting>
  <conditionalFormatting sqref="B29 J29 R29 Z29">
    <cfRule type="expression" priority="1" dxfId="2">
      <formula>$J$3=1</formula>
    </cfRule>
  </conditionalFormatting>
  <conditionalFormatting sqref="B13:H18 B22:H27 B31:H36 J13:P18 J22:P27 J31:P36 R13:X18 R22:X27 R31:X36 Z13:AF18 Z22:AF27 Z31:AF36">
    <cfRule type="cellIs" priority="3" operator="equal" dxfId="1">
      <formula>""</formula>
    </cfRule>
    <cfRule type="expression" priority="4" dxfId="0">
      <formula>OR(WEEKDAY(B13,1)=1,WEEKDAY(B13,1)=7)</formula>
    </cfRule>
  </conditionalFormatting>
  <printOptions horizontalCentered="1"/>
  <pageMargins left="0.35" right="0.35" top="0.4" bottom="0.35" header="0.2" footer="0.2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2026-04-09T00:39:28Z</dcterms:created>
  <dcterms:modified xmlns:dcterms="http://purl.org/dc/terms/" xmlns:xsi="http://www.w3.org/2001/XMLSchema-instance" xsi:type="dcterms:W3CDTF">2026-05-21T22:58:57Z</dcterms:modified>
  <cp:lastModifiedBy>Kellems, Mark</cp:lastModifiedBy>
</cp:coreProperties>
</file>